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IESIP Ing. Computacion\myRepository\"/>
    </mc:Choice>
  </mc:AlternateContent>
  <xr:revisionPtr revIDLastSave="0" documentId="13_ncr:1_{602F9A07-4EAC-4C09-B881-51E2A4EC652F}" xr6:coauthVersionLast="47" xr6:coauthVersionMax="47" xr10:uidLastSave="{00000000-0000-0000-0000-000000000000}"/>
  <bookViews>
    <workbookView xWindow="-120" yWindow="-120" windowWidth="20730" windowHeight="11760" tabRatio="696" xr2:uid="{00000000-000D-0000-FFFF-FFFF00000000}"/>
  </bookViews>
  <sheets>
    <sheet name="Formulario" sheetId="1" r:id="rId1"/>
    <sheet name="BD" sheetId="3" r:id="rId2"/>
    <sheet name="tipoSP" sheetId="6" r:id="rId3"/>
    <sheet name="tipoPresupuesto" sheetId="12" r:id="rId4"/>
    <sheet name="Proveedor" sheetId="8" r:id="rId5"/>
    <sheet name="Analistas" sheetId="5" r:id="rId6"/>
    <sheet name="posicionSP" sheetId="13" r:id="rId7"/>
    <sheet name="Material" sheetId="14" r:id="rId8"/>
  </sheets>
  <definedNames>
    <definedName name="Analista">Analistas!$B$3:$B$9</definedName>
    <definedName name="codigoMaterial">Material!$C$3:$C$164</definedName>
    <definedName name="Moneda">Material!$E$3:$E$164</definedName>
    <definedName name="nombreMaterial">Material!$B$3:$B$164</definedName>
    <definedName name="posicionSP">posicionSP!$B$3:$B$22</definedName>
    <definedName name="precioUnitario">Material!$D$3:$D$164</definedName>
    <definedName name="tipoPresupuesto">tipoPresupuesto!$B$3:$B$9</definedName>
    <definedName name="tipoSP">Tabla1[tipoSP]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4" l="1" a="1"/>
  <c r="G3" i="14" s="1"/>
  <c r="E3" i="8" a="1"/>
  <c r="E3" i="8" s="1"/>
  <c r="G162" i="14"/>
  <c r="G158" i="14"/>
  <c r="G154" i="14"/>
  <c r="G150" i="14"/>
  <c r="G147" i="14"/>
  <c r="G146" i="14"/>
  <c r="G143" i="14"/>
  <c r="G142" i="14"/>
  <c r="G139" i="14"/>
  <c r="G138" i="14"/>
  <c r="G135" i="14"/>
  <c r="G134" i="14"/>
  <c r="G131" i="14"/>
  <c r="G130" i="14"/>
  <c r="G127" i="14"/>
  <c r="G126" i="14"/>
  <c r="G123" i="14"/>
  <c r="G122" i="14"/>
  <c r="G119" i="14"/>
  <c r="G118" i="14"/>
  <c r="G115" i="14"/>
  <c r="G114" i="14"/>
  <c r="G111" i="14"/>
  <c r="G110" i="14"/>
  <c r="G107" i="14"/>
  <c r="G106" i="14"/>
  <c r="G103" i="14"/>
  <c r="G102" i="14"/>
  <c r="G99" i="14"/>
  <c r="G98" i="14"/>
  <c r="G95" i="14"/>
  <c r="G94" i="14"/>
  <c r="G91" i="14"/>
  <c r="G90" i="14"/>
  <c r="G87" i="14"/>
  <c r="G86" i="14"/>
  <c r="G83" i="14"/>
  <c r="G82" i="14"/>
  <c r="G79" i="14"/>
  <c r="G78" i="14"/>
  <c r="G75" i="14"/>
  <c r="G74" i="14"/>
  <c r="G71" i="14"/>
  <c r="G70" i="14"/>
  <c r="G67" i="14"/>
  <c r="G66" i="14"/>
  <c r="G63" i="14"/>
  <c r="G62" i="14"/>
  <c r="G59" i="14"/>
  <c r="G58" i="14"/>
  <c r="G55" i="14"/>
  <c r="G54" i="14"/>
  <c r="G51" i="14"/>
  <c r="G50" i="14"/>
  <c r="G47" i="14"/>
  <c r="G46" i="14"/>
  <c r="G43" i="14"/>
  <c r="G42" i="14"/>
  <c r="G39" i="14"/>
  <c r="G38" i="14"/>
  <c r="G35" i="14"/>
  <c r="G34" i="14"/>
  <c r="G31" i="14"/>
  <c r="G30" i="14"/>
  <c r="G27" i="14"/>
  <c r="G26" i="14"/>
  <c r="G23" i="14"/>
  <c r="G22" i="14"/>
  <c r="G19" i="14"/>
  <c r="G18" i="14"/>
  <c r="G15" i="14"/>
  <c r="G14" i="14"/>
  <c r="G11" i="14"/>
  <c r="G10" i="14"/>
  <c r="G7" i="14"/>
  <c r="G6" i="14"/>
  <c r="G151" i="14" l="1"/>
  <c r="G155" i="14"/>
  <c r="G159" i="14"/>
  <c r="G163" i="14"/>
  <c r="G4" i="14"/>
  <c r="G8" i="14"/>
  <c r="G12" i="14"/>
  <c r="G16" i="14"/>
  <c r="G20" i="14"/>
  <c r="G24" i="14"/>
  <c r="G28" i="14"/>
  <c r="G32" i="14"/>
  <c r="G36" i="14"/>
  <c r="G40" i="14"/>
  <c r="G44" i="14"/>
  <c r="G48" i="14"/>
  <c r="G52" i="14"/>
  <c r="G56" i="14"/>
  <c r="G60" i="14"/>
  <c r="G64" i="14"/>
  <c r="G68" i="14"/>
  <c r="G72" i="14"/>
  <c r="G76" i="14"/>
  <c r="G80" i="14"/>
  <c r="G84" i="14"/>
  <c r="G88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148" i="14"/>
  <c r="G152" i="14"/>
  <c r="G156" i="14"/>
  <c r="G160" i="14"/>
  <c r="G164" i="14"/>
  <c r="G5" i="14"/>
  <c r="G9" i="14"/>
  <c r="G13" i="14"/>
  <c r="G17" i="14"/>
  <c r="G21" i="14"/>
  <c r="G25" i="14"/>
  <c r="G29" i="14"/>
  <c r="G33" i="14"/>
  <c r="G37" i="14"/>
  <c r="G41" i="14"/>
  <c r="G45" i="14"/>
  <c r="G49" i="14"/>
  <c r="G53" i="14"/>
  <c r="G57" i="14"/>
  <c r="G61" i="14"/>
  <c r="G65" i="14"/>
  <c r="G69" i="14"/>
  <c r="G73" i="14"/>
  <c r="G77" i="14"/>
  <c r="G81" i="14"/>
  <c r="G85" i="14"/>
  <c r="G89" i="14"/>
  <c r="G93" i="14"/>
  <c r="G97" i="14"/>
  <c r="G101" i="14"/>
  <c r="G105" i="14"/>
  <c r="G109" i="14"/>
  <c r="G113" i="14"/>
  <c r="G117" i="14"/>
  <c r="G121" i="14"/>
  <c r="G125" i="14"/>
  <c r="G129" i="14"/>
  <c r="G133" i="14"/>
  <c r="G137" i="14"/>
  <c r="G141" i="14"/>
  <c r="G145" i="14"/>
  <c r="G149" i="14"/>
  <c r="G153" i="14"/>
  <c r="G157" i="14"/>
  <c r="G161" i="14"/>
  <c r="E8" i="8"/>
  <c r="E20" i="8"/>
  <c r="E10" i="8"/>
  <c r="E14" i="8"/>
  <c r="E18" i="8"/>
  <c r="E22" i="8"/>
  <c r="E26" i="8"/>
  <c r="E30" i="8"/>
  <c r="E4" i="8"/>
  <c r="E16" i="8"/>
  <c r="E28" i="8"/>
  <c r="E6" i="8"/>
  <c r="E7" i="8"/>
  <c r="E11" i="8"/>
  <c r="E15" i="8"/>
  <c r="E19" i="8"/>
  <c r="E23" i="8"/>
  <c r="E27" i="8"/>
  <c r="E12" i="8"/>
  <c r="E24" i="8"/>
  <c r="E5" i="8"/>
  <c r="E9" i="8"/>
  <c r="E13" i="8"/>
  <c r="E17" i="8"/>
  <c r="E21" i="8"/>
  <c r="E25" i="8"/>
  <c r="E29" i="8"/>
</calcChain>
</file>

<file path=xl/metadata.xml><?xml version="1.0" encoding="utf-8"?>
<metadata xmlns="http://schemas.openxmlformats.org/spreadsheetml/2006/main" xmlns:xlrd="http://schemas.microsoft.com/office/spreadsheetml/2017/richdata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<sst xmlns="http://schemas.openxmlformats.org/spreadsheetml/2006/main" count="48" uniqueCount="43">
  <si>
    <t>Tipo de SP</t>
  </si>
  <si>
    <t>Presupuesto</t>
  </si>
  <si>
    <t>Descripcion de la partida según preciario</t>
  </si>
  <si>
    <t>Cantidad</t>
  </si>
  <si>
    <t>Fecha de solicitud</t>
  </si>
  <si>
    <t>Nombre proveedor</t>
  </si>
  <si>
    <t>Codigo proveedor</t>
  </si>
  <si>
    <t>Tipo de moneda</t>
  </si>
  <si>
    <t>Monto total SP</t>
  </si>
  <si>
    <t>Descripcion de tarea a realizar</t>
  </si>
  <si>
    <t>Ubicación tecnica</t>
  </si>
  <si>
    <t>Responsable</t>
  </si>
  <si>
    <t>Progreso</t>
  </si>
  <si>
    <t>Codigo SAP servicio/material</t>
  </si>
  <si>
    <t>Numero de SP</t>
  </si>
  <si>
    <t>Numero de OC</t>
  </si>
  <si>
    <t>Analista</t>
  </si>
  <si>
    <t>tipoSP</t>
  </si>
  <si>
    <t>nombreProveedor</t>
  </si>
  <si>
    <t>codigoProveedor</t>
  </si>
  <si>
    <t>Posicion SP</t>
  </si>
  <si>
    <t>Precio Unitario</t>
  </si>
  <si>
    <t>Numero de Solicitud</t>
  </si>
  <si>
    <t>tipoPresupuesto</t>
  </si>
  <si>
    <t>posicionSP</t>
  </si>
  <si>
    <t>nombreMaterial</t>
  </si>
  <si>
    <t>codigoMaterial</t>
  </si>
  <si>
    <t>Posición SP</t>
  </si>
  <si>
    <t>precioUnitario</t>
  </si>
  <si>
    <t>Moneda</t>
  </si>
  <si>
    <t xml:space="preserve">             Solicitud de SP</t>
  </si>
  <si>
    <t>N° Solicitud</t>
  </si>
  <si>
    <t>N°de OC</t>
  </si>
  <si>
    <t>N° de SP</t>
  </si>
  <si>
    <t>Fecha</t>
  </si>
  <si>
    <t>Proveedor</t>
  </si>
  <si>
    <t>PU</t>
  </si>
  <si>
    <r>
      <rPr>
        <b/>
        <sz val="11"/>
        <color rgb="FFFF0000"/>
        <rFont val="Arial"/>
        <family val="2"/>
      </rPr>
      <t>*</t>
    </r>
    <r>
      <rPr>
        <b/>
        <sz val="11"/>
        <color theme="1"/>
        <rFont val="Arial"/>
        <family val="2"/>
      </rPr>
      <t>Tarea a realizar</t>
    </r>
  </si>
  <si>
    <t>Cod. proveedor</t>
  </si>
  <si>
    <t>Cod. SAP servicio/material</t>
  </si>
  <si>
    <r>
      <rPr>
        <sz val="11"/>
        <color rgb="FFFF0000"/>
        <rFont val="Arial"/>
        <family val="2"/>
      </rPr>
      <t>*</t>
    </r>
    <r>
      <rPr>
        <b/>
        <sz val="11"/>
        <color theme="1"/>
        <rFont val="Arial"/>
        <family val="2"/>
      </rPr>
      <t>Ubicación técnica</t>
    </r>
  </si>
  <si>
    <t>Descripción de partida</t>
  </si>
  <si>
    <r>
      <rPr>
        <b/>
        <sz val="11"/>
        <color rgb="FFFF0000"/>
        <rFont val="Arial"/>
        <family val="2"/>
      </rPr>
      <t>*</t>
    </r>
    <r>
      <rPr>
        <b/>
        <sz val="11"/>
        <color theme="1"/>
        <rFont val="Arial"/>
        <family val="2"/>
      </rPr>
      <t>Cantidad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</si>
</sst>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26"/>
      <color theme="0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Arial"/>
      <family val="2"/>
    </font>
    <font>
      <b/>
      <sz val="26"/>
      <color rgb="FFE60000"/>
      <name val="Arial"/>
      <family val="2"/>
    </font>
    <font>
      <b/>
      <sz val="11"/>
      <color theme="1"/>
      <name val="Arial"/>
      <family val="2"/>
    </font>
    <font>
      <b/>
      <sz val="14"/>
      <color rgb="FFE60000"/>
      <name val="Arial"/>
      <family val="2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rgb="FFE60000"/>
      <name val="Calibri"/>
      <family val="2"/>
      <scheme val="minor"/>
    </font>
    <font>
      <b/>
      <sz val="11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6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top" wrapText="1"/>
    </xf>
    <xf numFmtId="0" fontId="9" fillId="0" borderId="0" xfId="0" applyFont="1" applyFill="1" applyBorder="1" applyAlignment="1">
      <alignment vertical="center" wrapText="1"/>
    </xf>
    <xf numFmtId="0" fontId="7" fillId="0" borderId="0" xfId="1" applyFont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0" borderId="1" xfId="0" applyFont="1" applyBorder="1" applyAlignment="1">
      <alignment horizontal="left"/>
    </xf>
    <xf numFmtId="0" fontId="0" fillId="2" borderId="1" xfId="0" applyFont="1" applyFill="1" applyBorder="1" applyAlignment="1">
      <alignment horizontal="left"/>
    </xf>
    <xf numFmtId="0" fontId="3" fillId="0" borderId="0" xfId="1"/>
    <xf numFmtId="164" fontId="0" fillId="0" borderId="0" xfId="0" applyNumberFormat="1" applyAlignment="1">
      <alignment horizontal="center"/>
    </xf>
    <xf numFmtId="0" fontId="8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4" fontId="6" fillId="6" borderId="3" xfId="0" applyNumberFormat="1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4" fontId="0" fillId="5" borderId="3" xfId="0" applyNumberFormat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4" fontId="0" fillId="0" borderId="3" xfId="0" applyNumberFormat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164" fontId="6" fillId="6" borderId="3" xfId="0" applyNumberFormat="1" applyFont="1" applyFill="1" applyBorder="1" applyAlignment="1">
      <alignment horizontal="center"/>
    </xf>
    <xf numFmtId="164" fontId="0" fillId="5" borderId="3" xfId="0" applyNumberFormat="1" applyFont="1" applyFill="1" applyBorder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2" fillId="4" borderId="0" xfId="0" applyFont="1" applyFill="1" applyBorder="1" applyAlignment="1" applyProtection="1">
      <alignment vertical="center" wrapText="1"/>
    </xf>
    <xf numFmtId="0" fontId="14" fillId="4" borderId="0" xfId="0" applyFont="1" applyFill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vertical="center" wrapText="1"/>
    </xf>
    <xf numFmtId="0" fontId="0" fillId="0" borderId="0" xfId="0" applyProtection="1"/>
    <xf numFmtId="0" fontId="0" fillId="4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3" fillId="3" borderId="0" xfId="0" applyFont="1" applyFill="1" applyAlignment="1" applyProtection="1">
      <alignment horizontal="right" vertical="center" wrapText="1"/>
    </xf>
    <xf numFmtId="164" fontId="0" fillId="0" borderId="0" xfId="0" applyNumberFormat="1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 vertical="center"/>
    </xf>
    <xf numFmtId="0" fontId="13" fillId="3" borderId="0" xfId="0" applyFont="1" applyFill="1" applyAlignment="1" applyProtection="1">
      <alignment horizontal="right" vertical="center"/>
    </xf>
    <xf numFmtId="0" fontId="0" fillId="0" borderId="0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right" vertic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 wrapText="1"/>
    </xf>
    <xf numFmtId="0" fontId="7" fillId="0" borderId="0" xfId="1" applyFont="1" applyFill="1" applyBorder="1" applyAlignment="1" applyProtection="1">
      <alignment horizontal="center" vertical="center"/>
    </xf>
    <xf numFmtId="0" fontId="7" fillId="3" borderId="0" xfId="1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5" fillId="0" borderId="0" xfId="0" applyFont="1" applyProtection="1"/>
    <xf numFmtId="0" fontId="0" fillId="3" borderId="0" xfId="0" applyFill="1" applyBorder="1" applyAlignment="1" applyProtection="1">
      <alignment horizontal="right" vertical="center"/>
    </xf>
    <xf numFmtId="0" fontId="1" fillId="3" borderId="0" xfId="0" applyFont="1" applyFill="1" applyAlignment="1" applyProtection="1">
      <alignment horizontal="right" vertical="center"/>
    </xf>
    <xf numFmtId="0" fontId="0" fillId="3" borderId="0" xfId="0" applyFill="1" applyAlignment="1" applyProtection="1">
      <alignment horizontal="center"/>
    </xf>
    <xf numFmtId="0" fontId="13" fillId="3" borderId="0" xfId="0" applyFont="1" applyFill="1" applyAlignment="1" applyProtection="1">
      <alignment horizontal="right" wrapText="1"/>
    </xf>
    <xf numFmtId="0" fontId="1" fillId="0" borderId="0" xfId="0" applyFont="1" applyAlignment="1" applyProtection="1">
      <alignment horizontal="right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Fill="1" applyBorder="1" applyAlignment="1" applyProtection="1"/>
    <xf numFmtId="0" fontId="0" fillId="0" borderId="0" xfId="0" applyAlignment="1" applyProtection="1">
      <alignment horizontal="center"/>
    </xf>
    <xf numFmtId="4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3" borderId="0" xfId="0" applyFont="1" applyFill="1" applyAlignment="1" applyProtection="1">
      <alignment horizontal="right" vertical="center"/>
    </xf>
    <xf numFmtId="0" fontId="19" fillId="3" borderId="0" xfId="0" applyFont="1" applyFill="1" applyAlignment="1" applyProtection="1">
      <alignment horizontal="right" vertical="center"/>
    </xf>
    <xf numFmtId="0" fontId="18" fillId="3" borderId="0" xfId="0" applyFont="1" applyFill="1" applyAlignment="1" applyProtection="1">
      <alignment horizontal="right" vertical="center" wrapText="1"/>
    </xf>
    <xf numFmtId="0" fontId="8" fillId="0" borderId="0" xfId="0" applyFont="1" applyFill="1" applyAlignment="1">
      <alignment vertical="top" wrapText="1"/>
    </xf>
    <xf numFmtId="0" fontId="9" fillId="0" borderId="0" xfId="0" applyFont="1" applyFill="1" applyAlignment="1">
      <alignment horizontal="center" vertical="center"/>
    </xf>
    <xf numFmtId="0" fontId="12" fillId="4" borderId="0" xfId="0" applyFont="1" applyFill="1" applyBorder="1" applyAlignment="1" applyProtection="1">
      <alignment horizontal="center" vertical="center" wrapText="1"/>
    </xf>
    <xf numFmtId="0" fontId="17" fillId="3" borderId="0" xfId="0" applyFont="1" applyFill="1" applyAlignment="1" applyProtection="1">
      <alignment horizontal="right"/>
    </xf>
  </cellXfs>
  <cellStyles count="2">
    <cellStyle name="Hipervínculo" xfId="1" builtinId="8"/>
    <cellStyle name="Normal" xfId="0" builtinId="0"/>
  </cellStyles>
  <dxfs count="18"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left style="thin">
          <color theme="6" tint="0.39997558519241921"/>
        </left>
        <right style="thin">
          <color theme="6" tint="0.399975585192419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7" defaultPivotStyle="PivotStyleLight16"/>
  <colors>
    <mruColors>
      <color rgb="FF33CCFF"/>
      <color rgb="FFE60000"/>
      <color rgb="FFFF0000"/>
      <color rgb="FF009900"/>
      <color rgb="FF228B22"/>
      <color rgb="FF339933"/>
      <color rgb="FF003300"/>
      <color rgb="FF336600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448997</xdr:colOff>
      <xdr:row>1</xdr:row>
      <xdr:rowOff>27952</xdr:rowOff>
    </xdr:from>
    <xdr:to>
      <xdr:col>1</xdr:col>
      <xdr:colOff>260304</xdr:colOff>
      <xdr:row>1</xdr:row>
      <xdr:rowOff>278019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D0B936C-E78E-4A1D-9683-F445895BFE29}"/>
            </a:ext>
          </a:extLst>
        </xdr:cNvPr>
        <xdr:cNvSpPr/>
      </xdr:nvSpPr>
      <xdr:spPr>
        <a:xfrm>
          <a:off x="448997" y="834126"/>
          <a:ext cx="998481" cy="250067"/>
        </a:xfrm>
        <a:prstGeom prst="roundRect">
          <a:avLst/>
        </a:prstGeom>
        <a:solidFill>
          <a:srgbClr val="E6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Guardar</a:t>
          </a:r>
        </a:p>
      </xdr:txBody>
    </xdr:sp>
    <xdr:clientData/>
  </xdr:twoCellAnchor>
  <xdr:twoCellAnchor>
    <xdr:from>
      <xdr:col>7</xdr:col>
      <xdr:colOff>685795</xdr:colOff>
      <xdr:row>1</xdr:row>
      <xdr:rowOff>26985</xdr:rowOff>
    </xdr:from>
    <xdr:to>
      <xdr:col>7</xdr:col>
      <xdr:colOff>1473022</xdr:colOff>
      <xdr:row>1</xdr:row>
      <xdr:rowOff>278985</xdr:rowOff>
    </xdr:to>
    <xdr:sp macro="[0]!MModulo.Busc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65459A-4C12-4E69-8CDB-CD60A6028421}"/>
            </a:ext>
          </a:extLst>
        </xdr:cNvPr>
        <xdr:cNvSpPr/>
      </xdr:nvSpPr>
      <xdr:spPr>
        <a:xfrm>
          <a:off x="7429495" y="833435"/>
          <a:ext cx="787227" cy="252000"/>
        </a:xfrm>
        <a:prstGeom prst="roundRect">
          <a:avLst/>
        </a:prstGeom>
        <a:solidFill>
          <a:srgbClr val="E6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lt1"/>
              </a:solidFill>
              <a:latin typeface="+mn-lt"/>
              <a:ea typeface="+mn-ea"/>
              <a:cs typeface="+mn-cs"/>
            </a:rPr>
            <a:t>Buscar</a:t>
          </a:r>
        </a:p>
      </xdr:txBody>
    </xdr:sp>
    <xdr:clientData/>
  </xdr:twoCellAnchor>
  <xdr:twoCellAnchor>
    <xdr:from>
      <xdr:col>1</xdr:col>
      <xdr:colOff>315218</xdr:colOff>
      <xdr:row>1</xdr:row>
      <xdr:rowOff>27952</xdr:rowOff>
    </xdr:from>
    <xdr:to>
      <xdr:col>1</xdr:col>
      <xdr:colOff>1242797</xdr:colOff>
      <xdr:row>1</xdr:row>
      <xdr:rowOff>278019</xdr:rowOff>
    </xdr:to>
    <xdr:sp macro="[0]!Modific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E3C1B51-F8E1-4605-B4E9-622FD10404A9}"/>
            </a:ext>
          </a:extLst>
        </xdr:cNvPr>
        <xdr:cNvSpPr/>
      </xdr:nvSpPr>
      <xdr:spPr>
        <a:xfrm>
          <a:off x="1502392" y="834126"/>
          <a:ext cx="927579" cy="250067"/>
        </a:xfrm>
        <a:prstGeom prst="roundRect">
          <a:avLst/>
        </a:prstGeom>
        <a:solidFill>
          <a:srgbClr val="E6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/>
  </xdr:twoCellAnchor>
  <xdr:twoCellAnchor>
    <xdr:from>
      <xdr:col>3</xdr:col>
      <xdr:colOff>531119</xdr:colOff>
      <xdr:row>1</xdr:row>
      <xdr:rowOff>28089</xdr:rowOff>
    </xdr:from>
    <xdr:to>
      <xdr:col>4</xdr:col>
      <xdr:colOff>73719</xdr:colOff>
      <xdr:row>1</xdr:row>
      <xdr:rowOff>280089</xdr:rowOff>
    </xdr:to>
    <xdr:sp macro="[0]!Limpi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78103BF-C2E3-44B1-B06A-E55BA1C4ECBF}"/>
            </a:ext>
          </a:extLst>
        </xdr:cNvPr>
        <xdr:cNvSpPr/>
      </xdr:nvSpPr>
      <xdr:spPr>
        <a:xfrm>
          <a:off x="3358249" y="834263"/>
          <a:ext cx="762905" cy="252000"/>
        </a:xfrm>
        <a:prstGeom prst="roundRect">
          <a:avLst/>
        </a:prstGeom>
        <a:solidFill>
          <a:srgbClr val="E6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Limpiar</a:t>
          </a:r>
        </a:p>
      </xdr:txBody>
    </xdr:sp>
    <xdr:clientData/>
  </xdr:twoCellAnchor>
  <xdr:twoCellAnchor>
    <xdr:from>
      <xdr:col>1</xdr:col>
      <xdr:colOff>1297711</xdr:colOff>
      <xdr:row>1</xdr:row>
      <xdr:rowOff>27952</xdr:rowOff>
    </xdr:from>
    <xdr:to>
      <xdr:col>3</xdr:col>
      <xdr:colOff>476205</xdr:colOff>
      <xdr:row>1</xdr:row>
      <xdr:rowOff>278019</xdr:rowOff>
    </xdr:to>
    <xdr:sp macro="[0]!Elimina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61DCBFB-8A1E-450C-92A9-96579921E2BC}"/>
            </a:ext>
          </a:extLst>
        </xdr:cNvPr>
        <xdr:cNvSpPr/>
      </xdr:nvSpPr>
      <xdr:spPr>
        <a:xfrm>
          <a:off x="2484885" y="834126"/>
          <a:ext cx="818450" cy="250067"/>
        </a:xfrm>
        <a:prstGeom prst="roundRect">
          <a:avLst/>
        </a:prstGeom>
        <a:solidFill>
          <a:srgbClr val="E6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Eliminar</a:t>
          </a:r>
        </a:p>
      </xdr:txBody>
    </xdr:sp>
    <xdr:clientData/>
  </xdr:twoCellAnchor>
  <xdr:twoCellAnchor>
    <xdr:from>
      <xdr:col>6</xdr:col>
      <xdr:colOff>1037166</xdr:colOff>
      <xdr:row>0</xdr:row>
      <xdr:rowOff>0</xdr:rowOff>
    </xdr:from>
    <xdr:to>
      <xdr:col>9</xdr:col>
      <xdr:colOff>2722</xdr:colOff>
      <xdr:row>0</xdr:row>
      <xdr:rowOff>280458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337D3321-7399-4A1C-AB94-205AE53B3846}"/>
            </a:ext>
          </a:extLst>
        </xdr:cNvPr>
        <xdr:cNvSpPr/>
      </xdr:nvSpPr>
      <xdr:spPr>
        <a:xfrm>
          <a:off x="6566958" y="0"/>
          <a:ext cx="2267556" cy="280458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613832</xdr:colOff>
      <xdr:row>0</xdr:row>
      <xdr:rowOff>539750</xdr:rowOff>
    </xdr:from>
    <xdr:to>
      <xdr:col>9</xdr:col>
      <xdr:colOff>2721</xdr:colOff>
      <xdr:row>1</xdr:row>
      <xdr:rowOff>5290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33D4128A-6648-4711-8EA8-45ADAE584119}"/>
            </a:ext>
          </a:extLst>
        </xdr:cNvPr>
        <xdr:cNvSpPr/>
      </xdr:nvSpPr>
      <xdr:spPr>
        <a:xfrm>
          <a:off x="5954182" y="539750"/>
          <a:ext cx="2690889" cy="27199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E440DC-06FE-46F6-805C-309BBA9D8E92}" name="Tabla5" displayName="Tabla5" ref="A1:S59" totalsRowShown="0" headerRowDxfId="15" tableBorderDxfId="14">
  <autoFilter ref="A1:S59" xr:uid="{BEE440DC-06FE-46F6-805C-309BBA9D8E92}"/>
  <tableColumns count="19">
    <tableColumn id="1" xr3:uid="{FABF0197-D947-46B6-9883-3B79A809E6E8}" name="Fecha de solicitud"/>
    <tableColumn id="2" xr3:uid="{4133F4EA-9B03-48F1-B7F1-00D5C4E92E84}" name="Tipo de SP"/>
    <tableColumn id="3" xr3:uid="{A6A810E2-AE25-412E-8B43-1181447A65A7}" name="Presupuesto"/>
    <tableColumn id="4" xr3:uid="{597211F4-E0E2-422A-9EC6-C14C53A1AF9F}" name="Nombre proveedor"/>
    <tableColumn id="5" xr3:uid="{8546084E-70AD-4A44-AAFC-F8C14E5DD256}" name="Codigo proveedor"/>
    <tableColumn id="6" xr3:uid="{85F27248-C5B1-49CD-910D-D5D218AD5300}" name="Descripcion de la partida según preciario"/>
    <tableColumn id="7" xr3:uid="{A08DC5E0-ACA8-4861-8A9E-088FC5A120C1}" name="Posicion SP"/>
    <tableColumn id="8" xr3:uid="{A60A68DF-95E4-4886-BC11-2CF20C6F2147}" name="Codigo SAP servicio/material"/>
    <tableColumn id="9" xr3:uid="{B0B210CB-1EA0-4C86-A168-3EA3159ABAE4}" name="Cantidad"/>
    <tableColumn id="10" xr3:uid="{99579F26-0B77-4B0D-A9D0-940CEDE06519}" name="Precio Unitario"/>
    <tableColumn id="11" xr3:uid="{A26570CB-5A93-4D79-A93E-4510712098E3}" name="Tipo de moneda"/>
    <tableColumn id="12" xr3:uid="{5D7AFE95-9C43-4B63-B6D8-36860427608A}" name="Monto total SP"/>
    <tableColumn id="13" xr3:uid="{450F8368-FFDD-4660-9753-C8AA0C152FD6}" name="Descripcion de tarea a realizar"/>
    <tableColumn id="14" xr3:uid="{3AEE4659-2441-4524-ADCA-1383C244179D}" name="Ubicación tecnica"/>
    <tableColumn id="15" xr3:uid="{9033BC31-7F2C-4267-9141-67692A2BEEC3}" name="Responsable"/>
    <tableColumn id="16" xr3:uid="{BF4F1D2B-55E9-4822-84D3-E4CE8C12843C}" name="Numero de SP"/>
    <tableColumn id="17" xr3:uid="{409D2FA3-CBEA-41B2-B947-DA01D21CCDA4}" name="Numero de OC"/>
    <tableColumn id="18" xr3:uid="{E6BC08F6-0D3C-47FD-ABD7-704139046EE6}" name="Numero de Solicitud" dataDxfId="13"/>
    <tableColumn id="19" xr3:uid="{A325F60B-7CC1-47CF-BE65-A896E1831A30}" name="Progreso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B8C170-145A-4788-9240-4727579E038E}" name="Tabla1" displayName="Tabla1" ref="B2:B5" totalsRowShown="0" headerRowDxfId="12" dataDxfId="11">
  <autoFilter ref="B2:B5" xr:uid="{6BB8C170-145A-4788-9240-4727579E038E}"/>
  <sortState xmlns:xlrd2="http://schemas.microsoft.com/office/spreadsheetml/2017/richdata2" ref="B3:B5">
    <sortCondition ref="B2:B5"/>
  </sortState>
  <tableColumns count="1">
    <tableColumn id="1" xr3:uid="{BA6534AA-13AA-41C5-9B37-FD9B98565165}" name="tipoSP" dataDxfId="1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8C82C0-6CE5-4C20-9C16-00DCD25307C1}" name="Tabla3" displayName="Tabla3" ref="B2:B9" totalsRowShown="0">
  <autoFilter ref="B2:B9" xr:uid="{698C82C0-6CE5-4C20-9C16-00DCD25307C1}"/>
  <tableColumns count="1">
    <tableColumn id="1" xr3:uid="{DE8B60B7-D038-44F3-B021-C865E9BA2995}" name="tipoPresupuesto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37817C-3A74-4283-A157-612B3C03B480}" name="proveedores" displayName="proveedores" ref="B2:C30" totalsRowShown="0" headerRowDxfId="9" dataDxfId="8">
  <autoFilter ref="B2:C30" xr:uid="{1A37817C-3A74-4283-A157-612B3C03B480}"/>
  <sortState xmlns:xlrd2="http://schemas.microsoft.com/office/spreadsheetml/2017/richdata2" ref="B3:C30">
    <sortCondition ref="B2:B30"/>
  </sortState>
  <tableColumns count="2">
    <tableColumn id="1" xr3:uid="{09119803-3AB5-4C17-AE76-8E0CC652266B}" name="nombreProveedor" dataDxfId="7"/>
    <tableColumn id="2" xr3:uid="{0159D55F-B590-4295-8E4B-330959F10EB0}" name="codigoProveedor" dataDxfId="6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B2500B-6B6B-4E90-B3AC-F90550F409C1}" name="Tabla7" displayName="Tabla7" ref="B2:B9" totalsRowShown="0" headerRowDxfId="5">
  <autoFilter ref="B2:B9" xr:uid="{4CB2500B-6B6B-4E90-B3AC-F90550F409C1}"/>
  <sortState xmlns:xlrd2="http://schemas.microsoft.com/office/spreadsheetml/2017/richdata2" ref="B3:B9">
    <sortCondition ref="B2:B9"/>
  </sortState>
  <tableColumns count="1">
    <tableColumn id="1" xr3:uid="{BCF74C67-80F7-434D-87B5-08DFDC891A9B}" name="Analista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2D40EB-6A63-411A-B139-5728D45DDFDD}" name="Tabla6" displayName="Tabla6" ref="B2:B22" totalsRowShown="0" dataDxfId="4">
  <autoFilter ref="B2:B22" xr:uid="{4B2D40EB-6A63-411A-B139-5728D45DDFDD}"/>
  <tableColumns count="1">
    <tableColumn id="1" xr3:uid="{19882622-8113-4112-886C-ED662537115B}" name="posicionSP" dataDxfId="3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37874A-2210-42B2-B2DB-C0D4FCF4E951}" name="Tabla8" displayName="Tabla8" ref="B2:E164" totalsRowShown="0">
  <autoFilter ref="B2:E164" xr:uid="{4737874A-2210-42B2-B2DB-C0D4FCF4E951}"/>
  <tableColumns count="4">
    <tableColumn id="1" xr3:uid="{018287CE-A2E0-4EA4-BF3B-EDCC31F0893D}" name="nombreMaterial" dataDxfId="2"/>
    <tableColumn id="2" xr3:uid="{1D7D2CEF-6BB0-4CFB-8A4C-038883BBCDCE}" name="codigoMaterial" dataDxfId="1"/>
    <tableColumn id="3" xr3:uid="{79393BE3-50B4-4D04-BDAD-83E47BA01E12}" name="precioUnitario" dataDxfId="0"/>
    <tableColumn id="4" xr3:uid="{0EB00C9B-3C89-422E-9550-2B353889626C}" name="Moneda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6"/>
  <sheetViews>
    <sheetView showGridLines="0" tabSelected="1" topLeftCell="A7" zoomScale="120" zoomScaleNormal="120" workbookViewId="0">
      <selection activeCell="H17" sqref="H17"/>
    </sheetView>
  </sheetViews>
  <sheetFormatPr baseColWidth="10" defaultColWidth="9.140625" defaultRowHeight="15" x14ac:dyDescent="0.25"/>
  <cols>
    <col min="1" max="1" width="17" style="67" customWidth="1"/>
    <col min="2" max="2" width="21.85546875" style="67" customWidth="1"/>
    <col min="3" max="3" width="1.5703125" style="67" customWidth="1"/>
    <col min="4" max="4" width="21.85546875" style="67" bestFit="1" customWidth="1"/>
    <col min="5" max="5" width="16.85546875" style="67" customWidth="1"/>
    <col min="6" max="6" width="1.5703125" style="67" customWidth="1"/>
    <col min="7" max="7" width="17.28515625" style="67" customWidth="1"/>
    <col min="8" max="8" width="34.140625" style="67" bestFit="1" customWidth="1"/>
    <col min="9" max="9" width="0.42578125" style="67" customWidth="1"/>
    <col min="10" max="16384" width="9.140625" style="42"/>
  </cols>
  <sheetData>
    <row r="1" spans="1:13" ht="63.6" customHeight="1" x14ac:dyDescent="0.25">
      <c r="A1" s="75" t="s">
        <v>30</v>
      </c>
      <c r="B1" s="75"/>
      <c r="C1" s="75"/>
      <c r="D1" s="75"/>
      <c r="E1" s="75"/>
      <c r="F1" s="38"/>
      <c r="G1" s="39" t="s">
        <v>31</v>
      </c>
      <c r="H1" s="40"/>
      <c r="I1" s="41"/>
    </row>
    <row r="2" spans="1:13" ht="27.6" customHeight="1" x14ac:dyDescent="0.25">
      <c r="A2" s="38"/>
      <c r="B2" s="38"/>
      <c r="C2" s="38"/>
      <c r="D2" s="38"/>
      <c r="E2" s="43"/>
      <c r="F2" s="43"/>
      <c r="G2" s="43"/>
      <c r="H2" s="43"/>
      <c r="I2" s="41"/>
    </row>
    <row r="3" spans="1:13" ht="2.4500000000000002" customHeight="1" x14ac:dyDescent="0.25">
      <c r="A3" s="44"/>
      <c r="B3" s="44"/>
      <c r="C3" s="44"/>
      <c r="D3" s="44"/>
      <c r="E3" s="44"/>
      <c r="F3" s="44"/>
      <c r="G3" s="44"/>
      <c r="H3" s="44"/>
      <c r="I3" s="44"/>
    </row>
    <row r="4" spans="1:13" ht="15.6" customHeight="1" x14ac:dyDescent="0.25">
      <c r="A4" s="45" t="s">
        <v>34</v>
      </c>
      <c r="B4" s="46"/>
      <c r="C4" s="47"/>
      <c r="D4" s="48" t="s">
        <v>0</v>
      </c>
      <c r="E4" s="49"/>
      <c r="F4" s="50"/>
      <c r="G4" s="48" t="s">
        <v>1</v>
      </c>
      <c r="H4" s="49"/>
      <c r="I4" s="50"/>
    </row>
    <row r="5" spans="1:13" ht="1.5" customHeight="1" x14ac:dyDescent="0.25">
      <c r="A5" s="51"/>
      <c r="B5" s="52"/>
      <c r="C5" s="50"/>
      <c r="D5" s="51"/>
      <c r="E5" s="52"/>
      <c r="F5" s="50"/>
      <c r="G5" s="51"/>
      <c r="H5" s="50"/>
      <c r="I5" s="50"/>
    </row>
    <row r="6" spans="1:13" ht="27.95" customHeight="1" x14ac:dyDescent="0.25">
      <c r="A6" s="45" t="s">
        <v>35</v>
      </c>
      <c r="B6" s="53"/>
      <c r="C6" s="50"/>
      <c r="D6" s="70" t="s">
        <v>38</v>
      </c>
      <c r="E6" s="69"/>
      <c r="F6" s="50"/>
      <c r="G6" s="45" t="s">
        <v>41</v>
      </c>
      <c r="H6" s="53"/>
      <c r="I6" s="50"/>
    </row>
    <row r="7" spans="1:13" ht="1.5" customHeight="1" x14ac:dyDescent="0.25">
      <c r="A7" s="51"/>
      <c r="B7" s="52"/>
      <c r="C7" s="50"/>
      <c r="D7" s="71"/>
      <c r="E7" s="52"/>
      <c r="F7" s="50"/>
      <c r="G7" s="51"/>
      <c r="H7" s="50"/>
      <c r="I7" s="50"/>
    </row>
    <row r="8" spans="1:13" ht="30" customHeight="1" x14ac:dyDescent="0.25">
      <c r="A8" s="45" t="s">
        <v>27</v>
      </c>
      <c r="B8" s="54"/>
      <c r="C8" s="55"/>
      <c r="D8" s="72" t="s">
        <v>39</v>
      </c>
      <c r="E8" s="69"/>
      <c r="F8" s="50"/>
      <c r="G8" s="48" t="s">
        <v>42</v>
      </c>
      <c r="H8" s="49"/>
      <c r="I8" s="50"/>
      <c r="J8" s="56"/>
      <c r="L8" s="57"/>
    </row>
    <row r="9" spans="1:13" ht="1.5" customHeight="1" x14ac:dyDescent="0.25">
      <c r="A9" s="51"/>
      <c r="B9" s="52"/>
      <c r="C9" s="50"/>
      <c r="D9" s="71"/>
      <c r="E9" s="52"/>
      <c r="F9" s="50"/>
      <c r="G9" s="58"/>
      <c r="H9" s="50"/>
      <c r="I9" s="50"/>
    </row>
    <row r="10" spans="1:13" ht="15" customHeight="1" x14ac:dyDescent="0.25">
      <c r="A10" s="72" t="s">
        <v>36</v>
      </c>
      <c r="B10" s="68"/>
      <c r="C10" s="50"/>
      <c r="D10" s="70" t="s">
        <v>29</v>
      </c>
      <c r="E10" s="69"/>
      <c r="F10" s="50"/>
      <c r="G10" s="70" t="s">
        <v>8</v>
      </c>
      <c r="H10" s="68"/>
      <c r="I10" s="50"/>
    </row>
    <row r="11" spans="1:13" ht="1.5" customHeight="1" x14ac:dyDescent="0.25">
      <c r="A11" s="51"/>
      <c r="B11" s="50"/>
      <c r="C11" s="50"/>
      <c r="D11" s="51"/>
      <c r="E11" s="52"/>
      <c r="F11" s="50"/>
      <c r="G11" s="58"/>
      <c r="H11" s="50"/>
      <c r="I11" s="50"/>
    </row>
    <row r="12" spans="1:13" ht="45" customHeight="1" x14ac:dyDescent="0.25">
      <c r="A12" s="45" t="s">
        <v>37</v>
      </c>
      <c r="B12" s="53"/>
      <c r="C12" s="50"/>
      <c r="D12" s="59" t="s">
        <v>40</v>
      </c>
      <c r="E12" s="49"/>
      <c r="F12" s="50"/>
      <c r="G12" s="48" t="s">
        <v>11</v>
      </c>
      <c r="H12" s="49"/>
      <c r="I12" s="50"/>
    </row>
    <row r="13" spans="1:13" ht="1.5" customHeight="1" x14ac:dyDescent="0.25">
      <c r="A13" s="60"/>
      <c r="B13" s="60"/>
      <c r="C13" s="44"/>
      <c r="D13" s="60"/>
      <c r="E13" s="60"/>
      <c r="F13" s="44"/>
      <c r="G13" s="60"/>
      <c r="H13" s="60"/>
      <c r="I13" s="44"/>
    </row>
    <row r="14" spans="1:13" ht="15" customHeight="1" x14ac:dyDescent="0.25">
      <c r="A14" s="61" t="s">
        <v>33</v>
      </c>
      <c r="B14" s="49"/>
      <c r="C14" s="44"/>
      <c r="D14" s="61" t="s">
        <v>32</v>
      </c>
      <c r="E14" s="49"/>
      <c r="F14" s="60"/>
      <c r="G14" s="76"/>
      <c r="H14" s="76"/>
      <c r="I14" s="44"/>
    </row>
    <row r="15" spans="1:13" ht="1.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M15" s="62"/>
    </row>
    <row r="16" spans="1:13" x14ac:dyDescent="0.25">
      <c r="A16" s="63"/>
      <c r="B16" s="63"/>
      <c r="C16" s="63"/>
      <c r="D16" s="63"/>
      <c r="E16" s="63"/>
      <c r="F16" s="63"/>
      <c r="G16" s="63"/>
      <c r="H16" s="63"/>
      <c r="I16" s="63"/>
      <c r="J16" s="64"/>
    </row>
    <row r="17" spans="1:10" x14ac:dyDescent="0.25">
      <c r="A17" s="63"/>
      <c r="B17" s="63"/>
      <c r="C17" s="63"/>
      <c r="D17" s="63"/>
      <c r="E17" s="63"/>
      <c r="F17" s="63"/>
      <c r="G17" s="63"/>
      <c r="H17" s="63"/>
      <c r="I17" s="63"/>
      <c r="J17" s="64"/>
    </row>
    <row r="18" spans="1:10" ht="18" customHeight="1" x14ac:dyDescent="0.25">
      <c r="A18" s="65"/>
      <c r="B18" s="63"/>
      <c r="C18" s="63"/>
      <c r="D18" s="65"/>
      <c r="E18" s="65"/>
      <c r="F18" s="65"/>
      <c r="G18" s="65"/>
      <c r="H18" s="63"/>
      <c r="I18" s="63"/>
      <c r="J18" s="64"/>
    </row>
    <row r="19" spans="1:10" x14ac:dyDescent="0.25">
      <c r="A19" s="65"/>
      <c r="B19" s="65"/>
      <c r="C19" s="63"/>
      <c r="D19" s="65"/>
      <c r="E19" s="65"/>
      <c r="F19" s="65"/>
      <c r="G19" s="65"/>
      <c r="H19" s="63"/>
      <c r="I19" s="63"/>
      <c r="J19" s="64"/>
    </row>
    <row r="20" spans="1:10" x14ac:dyDescent="0.25">
      <c r="A20" s="65"/>
      <c r="B20" s="65"/>
      <c r="C20" s="66"/>
      <c r="D20" s="65"/>
      <c r="E20" s="65"/>
      <c r="F20" s="65"/>
      <c r="G20" s="65"/>
      <c r="H20" s="63"/>
      <c r="I20" s="63"/>
      <c r="J20" s="64"/>
    </row>
    <row r="21" spans="1:10" x14ac:dyDescent="0.25">
      <c r="A21" s="65"/>
      <c r="B21" s="65"/>
      <c r="C21" s="63"/>
      <c r="D21" s="65"/>
      <c r="E21" s="65"/>
      <c r="F21" s="65"/>
      <c r="G21" s="65"/>
      <c r="H21" s="63"/>
      <c r="I21" s="63"/>
      <c r="J21" s="64"/>
    </row>
    <row r="22" spans="1:10" x14ac:dyDescent="0.25">
      <c r="A22" s="65"/>
      <c r="B22" s="63"/>
      <c r="C22" s="66"/>
      <c r="D22" s="65"/>
      <c r="E22" s="65"/>
      <c r="F22" s="65"/>
      <c r="G22" s="65"/>
      <c r="H22" s="63"/>
      <c r="I22" s="63"/>
      <c r="J22" s="64"/>
    </row>
    <row r="23" spans="1:10" x14ac:dyDescent="0.25">
      <c r="A23" s="65"/>
      <c r="B23" s="65"/>
      <c r="C23" s="63"/>
      <c r="D23" s="65"/>
      <c r="E23" s="65"/>
      <c r="F23" s="65"/>
      <c r="G23" s="65"/>
      <c r="H23" s="63"/>
      <c r="I23" s="63"/>
      <c r="J23" s="64"/>
    </row>
    <row r="24" spans="1:10" x14ac:dyDescent="0.25">
      <c r="A24" s="65"/>
      <c r="B24" s="65"/>
      <c r="C24" s="63"/>
      <c r="D24" s="65"/>
      <c r="E24" s="65"/>
      <c r="F24" s="65"/>
      <c r="G24" s="65"/>
      <c r="H24" s="63"/>
      <c r="I24" s="63"/>
      <c r="J24" s="64"/>
    </row>
    <row r="25" spans="1:10" x14ac:dyDescent="0.25">
      <c r="A25" s="65"/>
      <c r="B25" s="65"/>
      <c r="C25" s="65"/>
      <c r="D25" s="65"/>
      <c r="E25" s="65"/>
      <c r="F25" s="65"/>
      <c r="G25" s="65"/>
      <c r="H25" s="65"/>
      <c r="I25" s="65"/>
    </row>
    <row r="26" spans="1:10" x14ac:dyDescent="0.25">
      <c r="A26" s="65"/>
      <c r="B26" s="65"/>
      <c r="C26" s="65"/>
      <c r="D26" s="65"/>
      <c r="E26" s="65"/>
      <c r="F26" s="65"/>
      <c r="G26" s="65"/>
      <c r="H26" s="65"/>
      <c r="I26" s="65"/>
    </row>
  </sheetData>
  <mergeCells count="2">
    <mergeCell ref="A1:E1"/>
    <mergeCell ref="G14:H14"/>
  </mergeCells>
  <dataValidations count="4">
    <dataValidation type="list" allowBlank="1" showInputMessage="1" showErrorMessage="1" sqref="E4" xr:uid="{32D4AECE-78B4-4D06-8D2C-CE07C3B5F15A}">
      <formula1>tipoSP</formula1>
    </dataValidation>
    <dataValidation type="list" allowBlank="1" showInputMessage="1" showErrorMessage="1" sqref="H4" xr:uid="{5A1EEE8A-9B76-4FAE-A15A-C98AB254AB62}">
      <formula1>tipoPresupuesto</formula1>
    </dataValidation>
    <dataValidation type="list" allowBlank="1" showInputMessage="1" showErrorMessage="1" sqref="H12" xr:uid="{17F2B334-A8B1-4C4D-A1E2-6446EA3C99E9}">
      <formula1>Analista</formula1>
    </dataValidation>
    <dataValidation type="list" allowBlank="1" showInputMessage="1" showErrorMessage="1" sqref="B8" xr:uid="{69230588-6F90-47C5-9DB7-AEB4B97B59BB}">
      <formula1>posicionSP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6BC9DA5-0485-47EB-9B69-CD011E194FD5}">
          <x14:formula1>
            <xm:f>_xlfn.ANCHORARRAY(Proveedor!$E$3)</xm:f>
          </x14:formula1>
          <xm:sqref>B6</xm:sqref>
        </x14:dataValidation>
        <x14:dataValidation type="list" allowBlank="1" showInputMessage="1" xr:uid="{1AD82916-DAFE-400C-9991-29E556C98D20}">
          <x14:formula1>
            <xm:f>_xlfn.ANCHORARRAY(Material!$G$3)</xm:f>
          </x14:formula1>
          <xm:sqref>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D8479-A00E-4B4D-A869-C261B48A5330}">
  <sheetPr codeName="Hoja2"/>
  <dimension ref="A1:S59"/>
  <sheetViews>
    <sheetView topLeftCell="N1" zoomScaleNormal="100" workbookViewId="0">
      <selection activeCell="T7" sqref="T7"/>
    </sheetView>
  </sheetViews>
  <sheetFormatPr baseColWidth="10" defaultColWidth="11.42578125" defaultRowHeight="15" x14ac:dyDescent="0.25"/>
  <cols>
    <col min="1" max="1" width="25.85546875" style="17" bestFit="1" customWidth="1"/>
    <col min="2" max="3" width="22.140625" style="1" customWidth="1"/>
    <col min="4" max="4" width="43.140625" style="1" bestFit="1" customWidth="1"/>
    <col min="5" max="5" width="25.85546875" style="1" bestFit="1" customWidth="1"/>
    <col min="6" max="6" width="51.28515625" style="1" bestFit="1" customWidth="1"/>
    <col min="7" max="7" width="22.140625" style="1" customWidth="1"/>
    <col min="8" max="8" width="38" style="1" bestFit="1" customWidth="1"/>
    <col min="9" max="9" width="22.140625" style="1" customWidth="1"/>
    <col min="10" max="10" width="22.140625" style="20" customWidth="1"/>
    <col min="11" max="11" width="23.5703125" style="1" bestFit="1" customWidth="1"/>
    <col min="12" max="12" width="24" style="20" bestFit="1" customWidth="1"/>
    <col min="13" max="13" width="59.5703125" style="1" customWidth="1"/>
    <col min="14" max="14" width="25.42578125" style="1" bestFit="1" customWidth="1"/>
    <col min="15" max="15" width="30.5703125" style="1" bestFit="1" customWidth="1"/>
    <col min="16" max="16" width="21.7109375" style="1" bestFit="1" customWidth="1"/>
    <col min="17" max="17" width="22" style="1" bestFit="1" customWidth="1"/>
    <col min="18" max="18" width="28.28515625" style="1" bestFit="1" customWidth="1"/>
    <col min="19" max="19" width="18.5703125" style="1" bestFit="1" customWidth="1"/>
    <col min="20" max="16384" width="11.42578125" style="1"/>
  </cols>
  <sheetData>
    <row r="1" spans="1:19" ht="15.75" x14ac:dyDescent="0.25">
      <c r="A1" s="32" t="s">
        <v>4</v>
      </c>
      <c r="B1" s="21" t="s">
        <v>0</v>
      </c>
      <c r="C1" s="21" t="s">
        <v>1</v>
      </c>
      <c r="D1" s="21" t="s">
        <v>5</v>
      </c>
      <c r="E1" s="21" t="s">
        <v>6</v>
      </c>
      <c r="F1" s="21" t="s">
        <v>2</v>
      </c>
      <c r="G1" s="22" t="s">
        <v>20</v>
      </c>
      <c r="H1" s="21" t="s">
        <v>13</v>
      </c>
      <c r="I1" s="21" t="s">
        <v>3</v>
      </c>
      <c r="J1" s="23" t="s">
        <v>21</v>
      </c>
      <c r="K1" s="21" t="s">
        <v>7</v>
      </c>
      <c r="L1" s="23" t="s">
        <v>8</v>
      </c>
      <c r="M1" s="21" t="s">
        <v>9</v>
      </c>
      <c r="N1" s="21" t="s">
        <v>10</v>
      </c>
      <c r="O1" s="21" t="s">
        <v>11</v>
      </c>
      <c r="P1" s="21" t="s">
        <v>14</v>
      </c>
      <c r="Q1" s="35" t="s">
        <v>15</v>
      </c>
      <c r="R1" s="21" t="s">
        <v>22</v>
      </c>
      <c r="S1" s="21" t="s">
        <v>12</v>
      </c>
    </row>
    <row r="2" spans="1:19" x14ac:dyDescent="0.25">
      <c r="A2" s="33"/>
      <c r="B2" s="24"/>
      <c r="C2" s="24"/>
      <c r="D2" s="24"/>
      <c r="E2" s="24"/>
      <c r="F2" s="24"/>
      <c r="G2" s="25"/>
      <c r="H2" s="24"/>
      <c r="I2" s="24"/>
      <c r="J2" s="26"/>
      <c r="K2" s="24"/>
      <c r="L2" s="26"/>
      <c r="M2" s="24"/>
      <c r="N2" s="24"/>
      <c r="O2" s="27"/>
      <c r="P2" s="24"/>
      <c r="Q2" s="36"/>
      <c r="R2" s="24"/>
      <c r="S2" s="24"/>
    </row>
    <row r="3" spans="1:19" x14ac:dyDescent="0.25">
      <c r="A3" s="34"/>
      <c r="B3" s="28"/>
      <c r="C3" s="28"/>
      <c r="D3" s="28"/>
      <c r="E3" s="28"/>
      <c r="F3" s="28"/>
      <c r="G3" s="28"/>
      <c r="H3" s="28"/>
      <c r="I3" s="28"/>
      <c r="J3" s="29"/>
      <c r="K3" s="28"/>
      <c r="L3" s="29"/>
      <c r="M3" s="28"/>
      <c r="N3" s="28"/>
      <c r="O3" s="30"/>
      <c r="P3" s="28"/>
      <c r="Q3" s="37"/>
      <c r="R3" s="24"/>
      <c r="S3" s="28"/>
    </row>
    <row r="4" spans="1:19" x14ac:dyDescent="0.25">
      <c r="A4" s="33"/>
      <c r="B4" s="24"/>
      <c r="C4" s="24"/>
      <c r="D4" s="24"/>
      <c r="E4" s="24"/>
      <c r="F4" s="24"/>
      <c r="G4" s="24"/>
      <c r="H4" s="24"/>
      <c r="I4" s="24"/>
      <c r="J4" s="26"/>
      <c r="K4" s="24"/>
      <c r="L4" s="26"/>
      <c r="M4" s="24"/>
      <c r="N4" s="24"/>
      <c r="O4" s="27"/>
      <c r="P4" s="24"/>
      <c r="Q4" s="36"/>
      <c r="R4" s="24"/>
      <c r="S4" s="31"/>
    </row>
    <row r="5" spans="1:19" x14ac:dyDescent="0.25">
      <c r="R5" s="24"/>
    </row>
    <row r="6" spans="1:19" x14ac:dyDescent="0.25">
      <c r="R6" s="24"/>
    </row>
    <row r="7" spans="1:19" x14ac:dyDescent="0.25">
      <c r="R7" s="24"/>
    </row>
    <row r="8" spans="1:19" x14ac:dyDescent="0.25">
      <c r="R8" s="24"/>
    </row>
    <row r="9" spans="1:19" x14ac:dyDescent="0.25">
      <c r="R9" s="24"/>
    </row>
    <row r="10" spans="1:19" x14ac:dyDescent="0.25">
      <c r="R10" s="24"/>
    </row>
    <row r="11" spans="1:19" x14ac:dyDescent="0.25">
      <c r="R11" s="24"/>
    </row>
    <row r="12" spans="1:19" x14ac:dyDescent="0.25">
      <c r="R12" s="24"/>
    </row>
    <row r="13" spans="1:19" x14ac:dyDescent="0.25">
      <c r="R13" s="24"/>
    </row>
    <row r="14" spans="1:19" x14ac:dyDescent="0.25">
      <c r="R14" s="24"/>
    </row>
    <row r="15" spans="1:19" x14ac:dyDescent="0.25">
      <c r="R15" s="24"/>
    </row>
    <row r="16" spans="1:19" x14ac:dyDescent="0.25">
      <c r="R16" s="24"/>
    </row>
    <row r="17" spans="18:18" x14ac:dyDescent="0.25">
      <c r="R17" s="24"/>
    </row>
    <row r="18" spans="18:18" x14ac:dyDescent="0.25">
      <c r="R18" s="24"/>
    </row>
    <row r="19" spans="18:18" x14ac:dyDescent="0.25">
      <c r="R19" s="24"/>
    </row>
    <row r="20" spans="18:18" x14ac:dyDescent="0.25">
      <c r="R20" s="24"/>
    </row>
    <row r="21" spans="18:18" x14ac:dyDescent="0.25">
      <c r="R21" s="24"/>
    </row>
    <row r="22" spans="18:18" x14ac:dyDescent="0.25">
      <c r="R22" s="24"/>
    </row>
    <row r="23" spans="18:18" x14ac:dyDescent="0.25">
      <c r="R23" s="24"/>
    </row>
    <row r="24" spans="18:18" x14ac:dyDescent="0.25">
      <c r="R24" s="24"/>
    </row>
    <row r="25" spans="18:18" x14ac:dyDescent="0.25">
      <c r="R25" s="24"/>
    </row>
    <row r="26" spans="18:18" x14ac:dyDescent="0.25">
      <c r="R26" s="24"/>
    </row>
    <row r="27" spans="18:18" x14ac:dyDescent="0.25">
      <c r="R27" s="24"/>
    </row>
    <row r="28" spans="18:18" x14ac:dyDescent="0.25">
      <c r="R28" s="24"/>
    </row>
    <row r="29" spans="18:18" x14ac:dyDescent="0.25">
      <c r="R29" s="24"/>
    </row>
    <row r="30" spans="18:18" x14ac:dyDescent="0.25">
      <c r="R30" s="24"/>
    </row>
    <row r="31" spans="18:18" x14ac:dyDescent="0.25">
      <c r="R31" s="24"/>
    </row>
    <row r="32" spans="18:18" x14ac:dyDescent="0.25">
      <c r="R32" s="24"/>
    </row>
    <row r="33" spans="18:18" x14ac:dyDescent="0.25">
      <c r="R33" s="24"/>
    </row>
    <row r="34" spans="18:18" x14ac:dyDescent="0.25">
      <c r="R34" s="24"/>
    </row>
    <row r="35" spans="18:18" x14ac:dyDescent="0.25">
      <c r="R35" s="24"/>
    </row>
    <row r="36" spans="18:18" x14ac:dyDescent="0.25">
      <c r="R36" s="24"/>
    </row>
    <row r="37" spans="18:18" x14ac:dyDescent="0.25">
      <c r="R37" s="24"/>
    </row>
    <row r="38" spans="18:18" x14ac:dyDescent="0.25">
      <c r="R38" s="24"/>
    </row>
    <row r="39" spans="18:18" x14ac:dyDescent="0.25">
      <c r="R39" s="24"/>
    </row>
    <row r="40" spans="18:18" x14ac:dyDescent="0.25">
      <c r="R40" s="24"/>
    </row>
    <row r="41" spans="18:18" x14ac:dyDescent="0.25">
      <c r="R41" s="24"/>
    </row>
    <row r="42" spans="18:18" x14ac:dyDescent="0.25">
      <c r="R42" s="24"/>
    </row>
    <row r="43" spans="18:18" x14ac:dyDescent="0.25">
      <c r="R43" s="24"/>
    </row>
    <row r="44" spans="18:18" x14ac:dyDescent="0.25">
      <c r="R44" s="24"/>
    </row>
    <row r="45" spans="18:18" x14ac:dyDescent="0.25">
      <c r="R45" s="24"/>
    </row>
    <row r="46" spans="18:18" x14ac:dyDescent="0.25">
      <c r="R46" s="24"/>
    </row>
    <row r="47" spans="18:18" x14ac:dyDescent="0.25">
      <c r="R47" s="24"/>
    </row>
    <row r="48" spans="18:18" x14ac:dyDescent="0.25">
      <c r="R48" s="24"/>
    </row>
    <row r="49" spans="18:18" x14ac:dyDescent="0.25">
      <c r="R49" s="24"/>
    </row>
    <row r="50" spans="18:18" x14ac:dyDescent="0.25">
      <c r="R50" s="24"/>
    </row>
    <row r="51" spans="18:18" x14ac:dyDescent="0.25">
      <c r="R51" s="24"/>
    </row>
    <row r="52" spans="18:18" x14ac:dyDescent="0.25">
      <c r="R52" s="24"/>
    </row>
    <row r="53" spans="18:18" x14ac:dyDescent="0.25">
      <c r="R53" s="24"/>
    </row>
    <row r="54" spans="18:18" x14ac:dyDescent="0.25">
      <c r="R54" s="24"/>
    </row>
    <row r="55" spans="18:18" x14ac:dyDescent="0.25">
      <c r="R55" s="24"/>
    </row>
    <row r="56" spans="18:18" x14ac:dyDescent="0.25">
      <c r="R56" s="24"/>
    </row>
    <row r="57" spans="18:18" x14ac:dyDescent="0.25">
      <c r="R57" s="24"/>
    </row>
    <row r="58" spans="18:18" x14ac:dyDescent="0.25">
      <c r="R58" s="24"/>
    </row>
    <row r="59" spans="18:18" x14ac:dyDescent="0.25">
      <c r="R59" s="24"/>
    </row>
  </sheetData>
  <phoneticPr fontId="4" type="noConversion"/>
  <conditionalFormatting sqref="S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{0F7A3C6D-F2AE-4B6A-B36E-C02083927345}</x14:id>
        </ext>
      </extLst>
    </cfRule>
  </conditionalFormatting>
  <conditionalFormatting sqref="S2:S59">
    <cfRule type="containsText" dxfId="17" priority="1" operator="containsText" text="Pendiente">
      <formula>NOT(ISERROR(SEARCH("Pendiente",S2)))</formula>
    </cfRule>
    <cfRule type="containsText" dxfId="16" priority="2" operator="containsText" text="Completa">
      <formula>NOT(ISERROR(SEARCH("Completa",S2)))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7A3C6D-F2AE-4B6A-B36E-C020839273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iconSet" priority="3" id="{321CB114-EDEA-4A87-A499-39967399121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S2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FA53-C69C-4D6F-91AE-E3DC469FD384}">
  <sheetPr codeName="Hoja3"/>
  <dimension ref="B2:B5"/>
  <sheetViews>
    <sheetView workbookViewId="0">
      <selection activeCell="B3" sqref="B3:B5"/>
    </sheetView>
  </sheetViews>
  <sheetFormatPr baseColWidth="10" defaultRowHeight="15" x14ac:dyDescent="0.25"/>
  <cols>
    <col min="2" max="2" width="14.5703125" bestFit="1" customWidth="1"/>
  </cols>
  <sheetData>
    <row r="2" spans="2:2" x14ac:dyDescent="0.25">
      <c r="B2" s="2" t="s">
        <v>17</v>
      </c>
    </row>
    <row r="3" spans="2:2" x14ac:dyDescent="0.25">
      <c r="B3" s="3"/>
    </row>
    <row r="4" spans="2:2" x14ac:dyDescent="0.25">
      <c r="B4" s="3"/>
    </row>
    <row r="5" spans="2:2" x14ac:dyDescent="0.25">
      <c r="B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1C7F5-B9A2-4A2D-A3A0-90C980D23774}">
  <sheetPr codeName="Hoja5"/>
  <dimension ref="B2"/>
  <sheetViews>
    <sheetView workbookViewId="0">
      <selection activeCell="B3" sqref="B3:B9"/>
    </sheetView>
  </sheetViews>
  <sheetFormatPr baseColWidth="10" defaultRowHeight="15" x14ac:dyDescent="0.25"/>
  <cols>
    <col min="2" max="2" width="19.28515625" bestFit="1" customWidth="1"/>
  </cols>
  <sheetData>
    <row r="2" spans="2:2" x14ac:dyDescent="0.25">
      <c r="B2" t="s">
        <v>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6DDF-761A-4BF8-8812-96D1DFA81043}">
  <sheetPr codeName="Hoja6"/>
  <dimension ref="B2:E30"/>
  <sheetViews>
    <sheetView zoomScale="70" zoomScaleNormal="70" workbookViewId="0">
      <selection activeCell="B3" sqref="B3:C30"/>
    </sheetView>
  </sheetViews>
  <sheetFormatPr baseColWidth="10" defaultRowHeight="15" x14ac:dyDescent="0.25"/>
  <cols>
    <col min="1" max="1" width="8.85546875" customWidth="1"/>
    <col min="2" max="2" width="39.42578125" bestFit="1" customWidth="1"/>
    <col min="3" max="3" width="20.85546875" style="1" bestFit="1" customWidth="1"/>
    <col min="4" max="4" width="10.85546875" customWidth="1"/>
    <col min="5" max="5" width="24.42578125" hidden="1" customWidth="1"/>
  </cols>
  <sheetData>
    <row r="2" spans="2:5" x14ac:dyDescent="0.25">
      <c r="B2" s="2" t="s">
        <v>18</v>
      </c>
      <c r="C2" s="2" t="s">
        <v>19</v>
      </c>
    </row>
    <row r="3" spans="2:5" x14ac:dyDescent="0.25">
      <c r="B3" s="3"/>
      <c r="E3" t="e" cm="1" vm="1">
        <f t="array" ref="E3:E30" ca="1">_xlfn._xlws.FILTER(proveedores[nombreProveedor],ISNUMBER(SEARCH(Formulario!B6,proveedores[nombreProveedor])),"No encontrado")</f>
        <v>#NAME?</v>
      </c>
    </row>
    <row r="4" spans="2:5" x14ac:dyDescent="0.25">
      <c r="B4" s="18"/>
      <c r="C4" s="19"/>
      <c r="E4" t="e" vm="1">
        <f ca="1"/>
        <v>#NAME?</v>
      </c>
    </row>
    <row r="5" spans="2:5" x14ac:dyDescent="0.25">
      <c r="B5" s="3"/>
      <c r="E5" t="e" vm="1">
        <f ca="1"/>
        <v>#NAME?</v>
      </c>
    </row>
    <row r="6" spans="2:5" x14ac:dyDescent="0.25">
      <c r="B6" s="3"/>
      <c r="E6" t="e" vm="1">
        <f ca="1"/>
        <v>#NAME?</v>
      </c>
    </row>
    <row r="7" spans="2:5" x14ac:dyDescent="0.25">
      <c r="B7" s="3"/>
      <c r="E7" t="e" vm="1">
        <f ca="1"/>
        <v>#NAME?</v>
      </c>
    </row>
    <row r="8" spans="2:5" x14ac:dyDescent="0.25">
      <c r="B8" s="3"/>
      <c r="E8" t="e" vm="1">
        <f ca="1"/>
        <v>#NAME?</v>
      </c>
    </row>
    <row r="9" spans="2:5" x14ac:dyDescent="0.25">
      <c r="B9" s="3"/>
      <c r="E9" t="e" vm="1">
        <f ca="1"/>
        <v>#NAME?</v>
      </c>
    </row>
    <row r="10" spans="2:5" x14ac:dyDescent="0.25">
      <c r="B10" s="3"/>
      <c r="E10" t="e" vm="1">
        <f ca="1"/>
        <v>#NAME?</v>
      </c>
    </row>
    <row r="11" spans="2:5" x14ac:dyDescent="0.25">
      <c r="B11" s="3"/>
      <c r="E11" t="e" vm="1">
        <f ca="1"/>
        <v>#NAME?</v>
      </c>
    </row>
    <row r="12" spans="2:5" x14ac:dyDescent="0.25">
      <c r="B12" s="3"/>
      <c r="E12" t="e" vm="1">
        <f ca="1"/>
        <v>#NAME?</v>
      </c>
    </row>
    <row r="13" spans="2:5" x14ac:dyDescent="0.25">
      <c r="B13" s="3"/>
      <c r="E13" t="e" vm="1">
        <f ca="1"/>
        <v>#NAME?</v>
      </c>
    </row>
    <row r="14" spans="2:5" x14ac:dyDescent="0.25">
      <c r="B14" s="3"/>
      <c r="E14" t="e" vm="1">
        <f ca="1"/>
        <v>#NAME?</v>
      </c>
    </row>
    <row r="15" spans="2:5" x14ac:dyDescent="0.25">
      <c r="B15" s="3"/>
      <c r="E15" t="e" vm="1">
        <f ca="1"/>
        <v>#NAME?</v>
      </c>
    </row>
    <row r="16" spans="2:5" x14ac:dyDescent="0.25">
      <c r="B16" s="3"/>
      <c r="E16" t="e" vm="1">
        <f ca="1"/>
        <v>#NAME?</v>
      </c>
    </row>
    <row r="17" spans="2:5" x14ac:dyDescent="0.25">
      <c r="B17" s="3"/>
      <c r="E17" t="e" vm="1">
        <f ca="1"/>
        <v>#NAME?</v>
      </c>
    </row>
    <row r="18" spans="2:5" x14ac:dyDescent="0.25">
      <c r="B18" s="3"/>
      <c r="E18" t="e" vm="1">
        <f ca="1"/>
        <v>#NAME?</v>
      </c>
    </row>
    <row r="19" spans="2:5" x14ac:dyDescent="0.25">
      <c r="B19" s="3"/>
      <c r="E19" t="e" vm="1">
        <f ca="1"/>
        <v>#NAME?</v>
      </c>
    </row>
    <row r="20" spans="2:5" x14ac:dyDescent="0.25">
      <c r="B20" s="3"/>
      <c r="E20" t="e" vm="1">
        <f ca="1"/>
        <v>#NAME?</v>
      </c>
    </row>
    <row r="21" spans="2:5" x14ac:dyDescent="0.25">
      <c r="B21" s="3"/>
      <c r="E21" t="e" vm="1">
        <f ca="1"/>
        <v>#NAME?</v>
      </c>
    </row>
    <row r="22" spans="2:5" x14ac:dyDescent="0.25">
      <c r="B22" s="3"/>
      <c r="E22" t="e" vm="1">
        <f ca="1"/>
        <v>#NAME?</v>
      </c>
    </row>
    <row r="23" spans="2:5" x14ac:dyDescent="0.25">
      <c r="B23" s="3"/>
      <c r="E23" t="e" vm="1">
        <f ca="1"/>
        <v>#NAME?</v>
      </c>
    </row>
    <row r="24" spans="2:5" x14ac:dyDescent="0.25">
      <c r="B24" s="3"/>
      <c r="E24" t="e" vm="1">
        <f ca="1"/>
        <v>#NAME?</v>
      </c>
    </row>
    <row r="25" spans="2:5" x14ac:dyDescent="0.25">
      <c r="B25" s="3"/>
      <c r="E25" t="e" vm="1">
        <f ca="1"/>
        <v>#NAME?</v>
      </c>
    </row>
    <row r="26" spans="2:5" x14ac:dyDescent="0.25">
      <c r="B26" s="3"/>
      <c r="E26" t="e" vm="1">
        <f ca="1"/>
        <v>#NAME?</v>
      </c>
    </row>
    <row r="27" spans="2:5" x14ac:dyDescent="0.25">
      <c r="B27" s="3"/>
      <c r="E27" t="e" vm="1">
        <f ca="1"/>
        <v>#NAME?</v>
      </c>
    </row>
    <row r="28" spans="2:5" x14ac:dyDescent="0.25">
      <c r="B28" s="3"/>
      <c r="E28" t="e" vm="1">
        <f ca="1"/>
        <v>#NAME?</v>
      </c>
    </row>
    <row r="29" spans="2:5" x14ac:dyDescent="0.25">
      <c r="B29" s="3"/>
      <c r="E29" t="e" vm="1">
        <f ca="1"/>
        <v>#NAME?</v>
      </c>
    </row>
    <row r="30" spans="2:5" x14ac:dyDescent="0.25">
      <c r="B30" s="3"/>
      <c r="E30" t="e" vm="1">
        <f ca="1"/>
        <v>#NAME?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0C6C7-232F-40BD-87E3-C3920455F391}">
  <sheetPr codeName="Hoja7"/>
  <dimension ref="B2:B4"/>
  <sheetViews>
    <sheetView zoomScale="190" zoomScaleNormal="190" workbookViewId="0">
      <selection activeCell="B3" sqref="B3:B9"/>
    </sheetView>
  </sheetViews>
  <sheetFormatPr baseColWidth="10" defaultRowHeight="15" x14ac:dyDescent="0.25"/>
  <cols>
    <col min="2" max="2" width="32.140625" bestFit="1" customWidth="1"/>
  </cols>
  <sheetData>
    <row r="2" spans="2:2" x14ac:dyDescent="0.25">
      <c r="B2" s="2" t="s">
        <v>16</v>
      </c>
    </row>
    <row r="3" spans="2:2" x14ac:dyDescent="0.25">
      <c r="B3" s="9"/>
    </row>
    <row r="4" spans="2:2" x14ac:dyDescent="0.25">
      <c r="B4" s="1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415E2-E21B-4C62-B4BD-2296F1E29860}">
  <sheetPr codeName="Hoja8"/>
  <dimension ref="B2:B22"/>
  <sheetViews>
    <sheetView workbookViewId="0">
      <selection activeCell="G11" sqref="G11"/>
    </sheetView>
  </sheetViews>
  <sheetFormatPr baseColWidth="10" defaultRowHeight="15" x14ac:dyDescent="0.25"/>
  <cols>
    <col min="2" max="2" width="12.7109375" customWidth="1"/>
    <col min="5" max="5" width="11.85546875" bestFit="1" customWidth="1"/>
  </cols>
  <sheetData>
    <row r="2" spans="2:2" x14ac:dyDescent="0.25">
      <c r="B2" t="s">
        <v>24</v>
      </c>
    </row>
    <row r="3" spans="2:2" x14ac:dyDescent="0.25">
      <c r="B3" s="1"/>
    </row>
    <row r="4" spans="2:2" x14ac:dyDescent="0.25">
      <c r="B4" s="1"/>
    </row>
    <row r="5" spans="2:2" x14ac:dyDescent="0.25">
      <c r="B5" s="1"/>
    </row>
    <row r="6" spans="2:2" x14ac:dyDescent="0.25">
      <c r="B6" s="1"/>
    </row>
    <row r="7" spans="2:2" x14ac:dyDescent="0.25">
      <c r="B7" s="1"/>
    </row>
    <row r="8" spans="2:2" x14ac:dyDescent="0.25">
      <c r="B8" s="1"/>
    </row>
    <row r="9" spans="2:2" x14ac:dyDescent="0.25">
      <c r="B9" s="1"/>
    </row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60210-09FC-450F-BBE9-0DAB170AF066}">
  <sheetPr codeName="Hoja9"/>
  <dimension ref="B2:G164"/>
  <sheetViews>
    <sheetView zoomScale="85" zoomScaleNormal="85" workbookViewId="0">
      <selection activeCell="H13" sqref="H13"/>
    </sheetView>
  </sheetViews>
  <sheetFormatPr baseColWidth="10" defaultRowHeight="15" x14ac:dyDescent="0.25"/>
  <cols>
    <col min="2" max="2" width="48.140625" style="13" customWidth="1"/>
    <col min="3" max="3" width="19" style="4" bestFit="1" customWidth="1"/>
    <col min="4" max="4" width="11.42578125" style="1"/>
    <col min="7" max="7" width="14.5703125" hidden="1" customWidth="1"/>
  </cols>
  <sheetData>
    <row r="2" spans="2:7" x14ac:dyDescent="0.25">
      <c r="B2" s="12" t="s">
        <v>25</v>
      </c>
      <c r="C2" s="4" t="s">
        <v>26</v>
      </c>
      <c r="D2" s="11" t="s">
        <v>28</v>
      </c>
      <c r="E2" s="10" t="s">
        <v>29</v>
      </c>
    </row>
    <row r="3" spans="2:7" x14ac:dyDescent="0.25">
      <c r="G3" t="e" cm="1" vm="1">
        <f t="array" ref="G3:G164" ca="1">_xlfn._xlws.FILTER(nombreMaterial,ISNUMBER(SEARCH(Formulario!H6,nombreMaterial)),"No encontrado")</f>
        <v>#NAME?</v>
      </c>
    </row>
    <row r="4" spans="2:7" x14ac:dyDescent="0.25">
      <c r="G4" t="e" vm="1">
        <f ca="1"/>
        <v>#NAME?</v>
      </c>
    </row>
    <row r="5" spans="2:7" x14ac:dyDescent="0.25">
      <c r="G5" t="e" vm="1">
        <f ca="1"/>
        <v>#NAME?</v>
      </c>
    </row>
    <row r="6" spans="2:7" x14ac:dyDescent="0.25">
      <c r="G6" t="e" vm="1">
        <f ca="1"/>
        <v>#NAME?</v>
      </c>
    </row>
    <row r="7" spans="2:7" x14ac:dyDescent="0.25">
      <c r="G7" t="e" vm="1">
        <f ca="1"/>
        <v>#NAME?</v>
      </c>
    </row>
    <row r="8" spans="2:7" x14ac:dyDescent="0.25">
      <c r="G8" t="e" vm="1">
        <f ca="1"/>
        <v>#NAME?</v>
      </c>
    </row>
    <row r="9" spans="2:7" x14ac:dyDescent="0.25">
      <c r="G9" t="e" vm="1">
        <f ca="1"/>
        <v>#NAME?</v>
      </c>
    </row>
    <row r="10" spans="2:7" x14ac:dyDescent="0.25">
      <c r="G10" t="e" vm="1">
        <f ca="1"/>
        <v>#NAME?</v>
      </c>
    </row>
    <row r="11" spans="2:7" x14ac:dyDescent="0.25">
      <c r="G11" t="e" vm="1">
        <f ca="1"/>
        <v>#NAME?</v>
      </c>
    </row>
    <row r="12" spans="2:7" x14ac:dyDescent="0.25">
      <c r="G12" t="e" vm="1">
        <f ca="1"/>
        <v>#NAME?</v>
      </c>
    </row>
    <row r="13" spans="2:7" x14ac:dyDescent="0.25">
      <c r="G13" t="e" vm="1">
        <f ca="1"/>
        <v>#NAME?</v>
      </c>
    </row>
    <row r="14" spans="2:7" x14ac:dyDescent="0.25">
      <c r="G14" t="e" vm="1">
        <f ca="1"/>
        <v>#NAME?</v>
      </c>
    </row>
    <row r="15" spans="2:7" x14ac:dyDescent="0.25">
      <c r="G15" t="e" vm="1">
        <f ca="1"/>
        <v>#NAME?</v>
      </c>
    </row>
    <row r="16" spans="2:7" x14ac:dyDescent="0.25">
      <c r="G16" t="e" vm="1">
        <f ca="1"/>
        <v>#NAME?</v>
      </c>
    </row>
    <row r="17" spans="2:7" x14ac:dyDescent="0.25">
      <c r="G17" t="e" vm="1">
        <f ca="1"/>
        <v>#NAME?</v>
      </c>
    </row>
    <row r="18" spans="2:7" x14ac:dyDescent="0.25">
      <c r="G18" t="e" vm="1">
        <f ca="1"/>
        <v>#NAME?</v>
      </c>
    </row>
    <row r="19" spans="2:7" x14ac:dyDescent="0.25">
      <c r="G19" t="e" vm="1">
        <f ca="1"/>
        <v>#NAME?</v>
      </c>
    </row>
    <row r="20" spans="2:7" x14ac:dyDescent="0.25">
      <c r="G20" t="e" vm="1">
        <f ca="1"/>
        <v>#NAME?</v>
      </c>
    </row>
    <row r="21" spans="2:7" x14ac:dyDescent="0.25">
      <c r="G21" t="e" vm="1">
        <f ca="1"/>
        <v>#NAME?</v>
      </c>
    </row>
    <row r="22" spans="2:7" x14ac:dyDescent="0.25">
      <c r="G22" t="e" vm="1">
        <f ca="1"/>
        <v>#NAME?</v>
      </c>
    </row>
    <row r="23" spans="2:7" x14ac:dyDescent="0.25">
      <c r="G23" t="e" vm="1">
        <f ca="1"/>
        <v>#NAME?</v>
      </c>
    </row>
    <row r="24" spans="2:7" x14ac:dyDescent="0.25">
      <c r="G24" t="e" vm="1">
        <f ca="1"/>
        <v>#NAME?</v>
      </c>
    </row>
    <row r="25" spans="2:7" x14ac:dyDescent="0.25">
      <c r="G25" t="e" vm="1">
        <f ca="1"/>
        <v>#NAME?</v>
      </c>
    </row>
    <row r="26" spans="2:7" x14ac:dyDescent="0.25">
      <c r="B26" s="7"/>
      <c r="C26" s="5"/>
      <c r="G26" t="e" vm="1">
        <f ca="1"/>
        <v>#NAME?</v>
      </c>
    </row>
    <row r="27" spans="2:7" x14ac:dyDescent="0.25">
      <c r="B27" s="7"/>
      <c r="C27" s="5"/>
      <c r="G27" t="e" vm="1">
        <f ca="1"/>
        <v>#NAME?</v>
      </c>
    </row>
    <row r="28" spans="2:7" x14ac:dyDescent="0.25">
      <c r="G28" t="e" vm="1">
        <f ca="1"/>
        <v>#NAME?</v>
      </c>
    </row>
    <row r="29" spans="2:7" x14ac:dyDescent="0.25">
      <c r="G29" t="e" vm="1">
        <f ca="1"/>
        <v>#NAME?</v>
      </c>
    </row>
    <row r="30" spans="2:7" x14ac:dyDescent="0.25">
      <c r="G30" t="e" vm="1">
        <f ca="1"/>
        <v>#NAME?</v>
      </c>
    </row>
    <row r="31" spans="2:7" x14ac:dyDescent="0.25">
      <c r="G31" t="e" vm="1">
        <f ca="1"/>
        <v>#NAME?</v>
      </c>
    </row>
    <row r="32" spans="2:7" x14ac:dyDescent="0.25">
      <c r="G32" t="e" vm="1">
        <f ca="1"/>
        <v>#NAME?</v>
      </c>
    </row>
    <row r="33" spans="2:7" x14ac:dyDescent="0.25">
      <c r="G33" t="e" vm="1">
        <f ca="1"/>
        <v>#NAME?</v>
      </c>
    </row>
    <row r="34" spans="2:7" x14ac:dyDescent="0.25">
      <c r="G34" t="e" vm="1">
        <f ca="1"/>
        <v>#NAME?</v>
      </c>
    </row>
    <row r="35" spans="2:7" x14ac:dyDescent="0.25">
      <c r="G35" t="e" vm="1">
        <f ca="1"/>
        <v>#NAME?</v>
      </c>
    </row>
    <row r="36" spans="2:7" x14ac:dyDescent="0.25">
      <c r="G36" t="e" vm="1">
        <f ca="1"/>
        <v>#NAME?</v>
      </c>
    </row>
    <row r="37" spans="2:7" x14ac:dyDescent="0.25">
      <c r="G37" t="e" vm="1">
        <f ca="1"/>
        <v>#NAME?</v>
      </c>
    </row>
    <row r="38" spans="2:7" x14ac:dyDescent="0.25">
      <c r="G38" t="e" vm="1">
        <f ca="1"/>
        <v>#NAME?</v>
      </c>
    </row>
    <row r="39" spans="2:7" x14ac:dyDescent="0.25">
      <c r="B39" s="7"/>
      <c r="C39" s="5"/>
      <c r="G39" t="e" vm="1">
        <f ca="1"/>
        <v>#NAME?</v>
      </c>
    </row>
    <row r="40" spans="2:7" x14ac:dyDescent="0.25">
      <c r="B40" s="7"/>
      <c r="C40" s="5"/>
      <c r="G40" t="e" vm="1">
        <f ca="1"/>
        <v>#NAME?</v>
      </c>
    </row>
    <row r="41" spans="2:7" x14ac:dyDescent="0.25">
      <c r="G41" t="e" vm="1">
        <f ca="1"/>
        <v>#NAME?</v>
      </c>
    </row>
    <row r="42" spans="2:7" x14ac:dyDescent="0.25">
      <c r="G42" t="e" vm="1">
        <f ca="1"/>
        <v>#NAME?</v>
      </c>
    </row>
    <row r="43" spans="2:7" x14ac:dyDescent="0.25">
      <c r="G43" t="e" vm="1">
        <f ca="1"/>
        <v>#NAME?</v>
      </c>
    </row>
    <row r="44" spans="2:7" x14ac:dyDescent="0.25">
      <c r="G44" t="e" vm="1">
        <f ca="1"/>
        <v>#NAME?</v>
      </c>
    </row>
    <row r="45" spans="2:7" x14ac:dyDescent="0.25">
      <c r="G45" t="e" vm="1">
        <f ca="1"/>
        <v>#NAME?</v>
      </c>
    </row>
    <row r="46" spans="2:7" x14ac:dyDescent="0.25">
      <c r="G46" t="e" vm="1">
        <f ca="1"/>
        <v>#NAME?</v>
      </c>
    </row>
    <row r="47" spans="2:7" x14ac:dyDescent="0.25">
      <c r="G47" t="e" vm="1">
        <f ca="1"/>
        <v>#NAME?</v>
      </c>
    </row>
    <row r="48" spans="2:7" x14ac:dyDescent="0.25">
      <c r="G48" t="e" vm="1">
        <f ca="1"/>
        <v>#NAME?</v>
      </c>
    </row>
    <row r="49" spans="7:7" x14ac:dyDescent="0.25">
      <c r="G49" t="e" vm="1">
        <f ca="1"/>
        <v>#NAME?</v>
      </c>
    </row>
    <row r="50" spans="7:7" x14ac:dyDescent="0.25">
      <c r="G50" t="e" vm="1">
        <f ca="1"/>
        <v>#NAME?</v>
      </c>
    </row>
    <row r="51" spans="7:7" x14ac:dyDescent="0.25">
      <c r="G51" t="e" vm="1">
        <f ca="1"/>
        <v>#NAME?</v>
      </c>
    </row>
    <row r="52" spans="7:7" x14ac:dyDescent="0.25">
      <c r="G52" t="e" vm="1">
        <f ca="1"/>
        <v>#NAME?</v>
      </c>
    </row>
    <row r="53" spans="7:7" x14ac:dyDescent="0.25">
      <c r="G53" t="e" vm="1">
        <f ca="1"/>
        <v>#NAME?</v>
      </c>
    </row>
    <row r="54" spans="7:7" x14ac:dyDescent="0.25">
      <c r="G54" t="e" vm="1">
        <f ca="1"/>
        <v>#NAME?</v>
      </c>
    </row>
    <row r="55" spans="7:7" x14ac:dyDescent="0.25">
      <c r="G55" t="e" vm="1">
        <f ca="1"/>
        <v>#NAME?</v>
      </c>
    </row>
    <row r="56" spans="7:7" x14ac:dyDescent="0.25">
      <c r="G56" t="e" vm="1">
        <f ca="1"/>
        <v>#NAME?</v>
      </c>
    </row>
    <row r="57" spans="7:7" x14ac:dyDescent="0.25">
      <c r="G57" t="e" vm="1">
        <f ca="1"/>
        <v>#NAME?</v>
      </c>
    </row>
    <row r="58" spans="7:7" x14ac:dyDescent="0.25">
      <c r="G58" t="e" vm="1">
        <f ca="1"/>
        <v>#NAME?</v>
      </c>
    </row>
    <row r="59" spans="7:7" x14ac:dyDescent="0.25">
      <c r="G59" t="e" vm="1">
        <f ca="1"/>
        <v>#NAME?</v>
      </c>
    </row>
    <row r="60" spans="7:7" x14ac:dyDescent="0.25">
      <c r="G60" t="e" vm="1">
        <f ca="1"/>
        <v>#NAME?</v>
      </c>
    </row>
    <row r="61" spans="7:7" x14ac:dyDescent="0.25">
      <c r="G61" t="e" vm="1">
        <f ca="1"/>
        <v>#NAME?</v>
      </c>
    </row>
    <row r="62" spans="7:7" x14ac:dyDescent="0.25">
      <c r="G62" t="e" vm="1">
        <f ca="1"/>
        <v>#NAME?</v>
      </c>
    </row>
    <row r="63" spans="7:7" x14ac:dyDescent="0.25">
      <c r="G63" t="e" vm="1">
        <f ca="1"/>
        <v>#NAME?</v>
      </c>
    </row>
    <row r="64" spans="7:7" x14ac:dyDescent="0.25">
      <c r="G64" t="e" vm="1">
        <f ca="1"/>
        <v>#NAME?</v>
      </c>
    </row>
    <row r="65" spans="7:7" x14ac:dyDescent="0.25">
      <c r="G65" t="e" vm="1">
        <f ca="1"/>
        <v>#NAME?</v>
      </c>
    </row>
    <row r="66" spans="7:7" x14ac:dyDescent="0.25">
      <c r="G66" t="e" vm="1">
        <f ca="1"/>
        <v>#NAME?</v>
      </c>
    </row>
    <row r="67" spans="7:7" x14ac:dyDescent="0.25">
      <c r="G67" t="e" vm="1">
        <f ca="1"/>
        <v>#NAME?</v>
      </c>
    </row>
    <row r="68" spans="7:7" x14ac:dyDescent="0.25">
      <c r="G68" t="e" vm="1">
        <f ca="1"/>
        <v>#NAME?</v>
      </c>
    </row>
    <row r="69" spans="7:7" x14ac:dyDescent="0.25">
      <c r="G69" t="e" vm="1">
        <f ca="1"/>
        <v>#NAME?</v>
      </c>
    </row>
    <row r="70" spans="7:7" x14ac:dyDescent="0.25">
      <c r="G70" t="e" vm="1">
        <f ca="1"/>
        <v>#NAME?</v>
      </c>
    </row>
    <row r="71" spans="7:7" x14ac:dyDescent="0.25">
      <c r="G71" t="e" vm="1">
        <f ca="1"/>
        <v>#NAME?</v>
      </c>
    </row>
    <row r="72" spans="7:7" x14ac:dyDescent="0.25">
      <c r="G72" t="e" vm="1">
        <f ca="1"/>
        <v>#NAME?</v>
      </c>
    </row>
    <row r="73" spans="7:7" x14ac:dyDescent="0.25">
      <c r="G73" t="e" vm="1">
        <f ca="1"/>
        <v>#NAME?</v>
      </c>
    </row>
    <row r="74" spans="7:7" x14ac:dyDescent="0.25">
      <c r="G74" t="e" vm="1">
        <f ca="1"/>
        <v>#NAME?</v>
      </c>
    </row>
    <row r="75" spans="7:7" x14ac:dyDescent="0.25">
      <c r="G75" t="e" vm="1">
        <f ca="1"/>
        <v>#NAME?</v>
      </c>
    </row>
    <row r="76" spans="7:7" x14ac:dyDescent="0.25">
      <c r="G76" t="e" vm="1">
        <f ca="1"/>
        <v>#NAME?</v>
      </c>
    </row>
    <row r="77" spans="7:7" x14ac:dyDescent="0.25">
      <c r="G77" t="e" vm="1">
        <f ca="1"/>
        <v>#NAME?</v>
      </c>
    </row>
    <row r="78" spans="7:7" x14ac:dyDescent="0.25">
      <c r="G78" t="e" vm="1">
        <f ca="1"/>
        <v>#NAME?</v>
      </c>
    </row>
    <row r="79" spans="7:7" x14ac:dyDescent="0.25">
      <c r="G79" t="e" vm="1">
        <f ca="1"/>
        <v>#NAME?</v>
      </c>
    </row>
    <row r="80" spans="7:7" x14ac:dyDescent="0.25">
      <c r="G80" t="e" vm="1">
        <f ca="1"/>
        <v>#NAME?</v>
      </c>
    </row>
    <row r="81" spans="2:7" x14ac:dyDescent="0.25">
      <c r="G81" t="e" vm="1">
        <f ca="1"/>
        <v>#NAME?</v>
      </c>
    </row>
    <row r="82" spans="2:7" x14ac:dyDescent="0.25">
      <c r="G82" t="e" vm="1">
        <f ca="1"/>
        <v>#NAME?</v>
      </c>
    </row>
    <row r="83" spans="2:7" x14ac:dyDescent="0.25">
      <c r="G83" t="e" vm="1">
        <f ca="1"/>
        <v>#NAME?</v>
      </c>
    </row>
    <row r="84" spans="2:7" x14ac:dyDescent="0.25">
      <c r="G84" t="e" vm="1">
        <f ca="1"/>
        <v>#NAME?</v>
      </c>
    </row>
    <row r="85" spans="2:7" x14ac:dyDescent="0.25">
      <c r="G85" t="e" vm="1">
        <f ca="1"/>
        <v>#NAME?</v>
      </c>
    </row>
    <row r="86" spans="2:7" x14ac:dyDescent="0.25">
      <c r="G86" t="e" vm="1">
        <f ca="1"/>
        <v>#NAME?</v>
      </c>
    </row>
    <row r="87" spans="2:7" x14ac:dyDescent="0.25">
      <c r="G87" t="e" vm="1">
        <f ca="1"/>
        <v>#NAME?</v>
      </c>
    </row>
    <row r="88" spans="2:7" x14ac:dyDescent="0.25">
      <c r="G88" t="e" vm="1">
        <f ca="1"/>
        <v>#NAME?</v>
      </c>
    </row>
    <row r="89" spans="2:7" x14ac:dyDescent="0.25">
      <c r="G89" t="e" vm="1">
        <f ca="1"/>
        <v>#NAME?</v>
      </c>
    </row>
    <row r="90" spans="2:7" x14ac:dyDescent="0.25">
      <c r="G90" t="e" vm="1">
        <f ca="1"/>
        <v>#NAME?</v>
      </c>
    </row>
    <row r="91" spans="2:7" x14ac:dyDescent="0.25">
      <c r="G91" t="e" vm="1">
        <f ca="1"/>
        <v>#NAME?</v>
      </c>
    </row>
    <row r="92" spans="2:7" x14ac:dyDescent="0.25">
      <c r="G92" t="e" vm="1">
        <f ca="1"/>
        <v>#NAME?</v>
      </c>
    </row>
    <row r="93" spans="2:7" x14ac:dyDescent="0.25">
      <c r="G93" t="e" vm="1">
        <f ca="1"/>
        <v>#NAME?</v>
      </c>
    </row>
    <row r="94" spans="2:7" x14ac:dyDescent="0.25">
      <c r="B94" s="7"/>
      <c r="C94" s="5"/>
      <c r="G94" t="e" vm="1">
        <f ca="1"/>
        <v>#NAME?</v>
      </c>
    </row>
    <row r="95" spans="2:7" x14ac:dyDescent="0.25">
      <c r="G95" t="e" vm="1">
        <f ca="1"/>
        <v>#NAME?</v>
      </c>
    </row>
    <row r="96" spans="2:7" x14ac:dyDescent="0.25">
      <c r="G96" t="e" vm="1">
        <f ca="1"/>
        <v>#NAME?</v>
      </c>
    </row>
    <row r="97" spans="2:7" x14ac:dyDescent="0.25">
      <c r="G97" t="e" vm="1">
        <f ca="1"/>
        <v>#NAME?</v>
      </c>
    </row>
    <row r="98" spans="2:7" x14ac:dyDescent="0.25">
      <c r="G98" t="e" vm="1">
        <f ca="1"/>
        <v>#NAME?</v>
      </c>
    </row>
    <row r="99" spans="2:7" x14ac:dyDescent="0.25">
      <c r="G99" t="e" vm="1">
        <f ca="1"/>
        <v>#NAME?</v>
      </c>
    </row>
    <row r="100" spans="2:7" x14ac:dyDescent="0.25">
      <c r="G100" t="e" vm="1">
        <f ca="1"/>
        <v>#NAME?</v>
      </c>
    </row>
    <row r="101" spans="2:7" x14ac:dyDescent="0.25">
      <c r="G101" t="e" vm="1">
        <f ca="1"/>
        <v>#NAME?</v>
      </c>
    </row>
    <row r="102" spans="2:7" x14ac:dyDescent="0.25">
      <c r="G102" t="e" vm="1">
        <f ca="1"/>
        <v>#NAME?</v>
      </c>
    </row>
    <row r="103" spans="2:7" x14ac:dyDescent="0.25">
      <c r="G103" t="e" vm="1">
        <f ca="1"/>
        <v>#NAME?</v>
      </c>
    </row>
    <row r="104" spans="2:7" x14ac:dyDescent="0.25">
      <c r="G104" t="e" vm="1">
        <f ca="1"/>
        <v>#NAME?</v>
      </c>
    </row>
    <row r="105" spans="2:7" x14ac:dyDescent="0.25">
      <c r="G105" t="e" vm="1">
        <f ca="1"/>
        <v>#NAME?</v>
      </c>
    </row>
    <row r="106" spans="2:7" x14ac:dyDescent="0.25">
      <c r="B106" s="7"/>
      <c r="C106" s="5"/>
      <c r="G106" t="e" vm="1">
        <f ca="1"/>
        <v>#NAME?</v>
      </c>
    </row>
    <row r="107" spans="2:7" x14ac:dyDescent="0.25">
      <c r="B107" s="7"/>
      <c r="C107" s="5"/>
      <c r="G107" t="e" vm="1">
        <f ca="1"/>
        <v>#NAME?</v>
      </c>
    </row>
    <row r="108" spans="2:7" x14ac:dyDescent="0.25">
      <c r="B108" s="7"/>
      <c r="C108" s="5"/>
      <c r="G108" t="e" vm="1">
        <f ca="1"/>
        <v>#NAME?</v>
      </c>
    </row>
    <row r="109" spans="2:7" x14ac:dyDescent="0.25">
      <c r="B109" s="7"/>
      <c r="C109" s="5"/>
      <c r="G109" t="e" vm="1">
        <f ca="1"/>
        <v>#NAME?</v>
      </c>
    </row>
    <row r="110" spans="2:7" x14ac:dyDescent="0.25">
      <c r="B110" s="7"/>
      <c r="C110" s="5"/>
      <c r="G110" t="e" vm="1">
        <f ca="1"/>
        <v>#NAME?</v>
      </c>
    </row>
    <row r="111" spans="2:7" x14ac:dyDescent="0.25">
      <c r="B111" s="7"/>
      <c r="C111" s="5"/>
      <c r="G111" t="e" vm="1">
        <f ca="1"/>
        <v>#NAME?</v>
      </c>
    </row>
    <row r="112" spans="2:7" x14ac:dyDescent="0.25">
      <c r="B112" s="7"/>
      <c r="C112" s="5"/>
      <c r="G112" t="e" vm="1">
        <f ca="1"/>
        <v>#NAME?</v>
      </c>
    </row>
    <row r="113" spans="2:7" x14ac:dyDescent="0.25">
      <c r="B113" s="7"/>
      <c r="C113" s="5"/>
      <c r="G113" t="e" vm="1">
        <f ca="1"/>
        <v>#NAME?</v>
      </c>
    </row>
    <row r="114" spans="2:7" x14ac:dyDescent="0.25">
      <c r="B114" s="7"/>
      <c r="C114" s="5"/>
      <c r="G114" t="e" vm="1">
        <f ca="1"/>
        <v>#NAME?</v>
      </c>
    </row>
    <row r="115" spans="2:7" x14ac:dyDescent="0.25">
      <c r="B115" s="7"/>
      <c r="C115" s="5"/>
      <c r="G115" t="e" vm="1">
        <f ca="1"/>
        <v>#NAME?</v>
      </c>
    </row>
    <row r="116" spans="2:7" x14ac:dyDescent="0.25">
      <c r="B116" s="7"/>
      <c r="C116" s="5"/>
      <c r="G116" t="e" vm="1">
        <f ca="1"/>
        <v>#NAME?</v>
      </c>
    </row>
    <row r="117" spans="2:7" x14ac:dyDescent="0.25">
      <c r="B117" s="7"/>
      <c r="C117" s="5"/>
      <c r="G117" t="e" vm="1">
        <f ca="1"/>
        <v>#NAME?</v>
      </c>
    </row>
    <row r="118" spans="2:7" x14ac:dyDescent="0.25">
      <c r="B118" s="7"/>
      <c r="C118" s="5"/>
      <c r="G118" t="e" vm="1">
        <f ca="1"/>
        <v>#NAME?</v>
      </c>
    </row>
    <row r="119" spans="2:7" x14ac:dyDescent="0.25">
      <c r="B119" s="7"/>
      <c r="C119" s="5"/>
      <c r="G119" t="e" vm="1">
        <f ca="1"/>
        <v>#NAME?</v>
      </c>
    </row>
    <row r="120" spans="2:7" x14ac:dyDescent="0.25">
      <c r="B120" s="7"/>
      <c r="C120" s="5"/>
      <c r="G120" t="e" vm="1">
        <f ca="1"/>
        <v>#NAME?</v>
      </c>
    </row>
    <row r="121" spans="2:7" x14ac:dyDescent="0.25">
      <c r="B121" s="7"/>
      <c r="C121" s="5"/>
      <c r="G121" t="e" vm="1">
        <f ca="1"/>
        <v>#NAME?</v>
      </c>
    </row>
    <row r="122" spans="2:7" x14ac:dyDescent="0.25">
      <c r="B122" s="7"/>
      <c r="C122" s="5"/>
      <c r="G122" t="e" vm="1">
        <f ca="1"/>
        <v>#NAME?</v>
      </c>
    </row>
    <row r="123" spans="2:7" x14ac:dyDescent="0.25">
      <c r="G123" t="e" vm="1">
        <f ca="1"/>
        <v>#NAME?</v>
      </c>
    </row>
    <row r="124" spans="2:7" x14ac:dyDescent="0.25">
      <c r="B124" s="8"/>
      <c r="C124" s="6"/>
      <c r="G124" t="e" vm="1">
        <f ca="1"/>
        <v>#NAME?</v>
      </c>
    </row>
    <row r="125" spans="2:7" x14ac:dyDescent="0.25">
      <c r="G125" t="e" vm="1">
        <f ca="1"/>
        <v>#NAME?</v>
      </c>
    </row>
    <row r="126" spans="2:7" x14ac:dyDescent="0.25">
      <c r="G126" t="e" vm="1">
        <f ca="1"/>
        <v>#NAME?</v>
      </c>
    </row>
    <row r="127" spans="2:7" x14ac:dyDescent="0.25">
      <c r="G127" t="e" vm="1">
        <f ca="1"/>
        <v>#NAME?</v>
      </c>
    </row>
    <row r="128" spans="2:7" x14ac:dyDescent="0.25">
      <c r="G128" t="e" vm="1">
        <f ca="1"/>
        <v>#NAME?</v>
      </c>
    </row>
    <row r="129" spans="2:7" x14ac:dyDescent="0.25">
      <c r="G129" t="e" vm="1">
        <f ca="1"/>
        <v>#NAME?</v>
      </c>
    </row>
    <row r="130" spans="2:7" x14ac:dyDescent="0.25">
      <c r="G130" t="e" vm="1">
        <f ca="1"/>
        <v>#NAME?</v>
      </c>
    </row>
    <row r="131" spans="2:7" x14ac:dyDescent="0.25">
      <c r="B131" s="8"/>
      <c r="C131" s="6"/>
      <c r="G131" t="e" vm="1">
        <f ca="1"/>
        <v>#NAME?</v>
      </c>
    </row>
    <row r="132" spans="2:7" x14ac:dyDescent="0.25">
      <c r="G132" t="e" vm="1">
        <f ca="1"/>
        <v>#NAME?</v>
      </c>
    </row>
    <row r="133" spans="2:7" x14ac:dyDescent="0.25">
      <c r="G133" t="e" vm="1">
        <f ca="1"/>
        <v>#NAME?</v>
      </c>
    </row>
    <row r="134" spans="2:7" x14ac:dyDescent="0.25">
      <c r="G134" t="e" vm="1">
        <f ca="1"/>
        <v>#NAME?</v>
      </c>
    </row>
    <row r="135" spans="2:7" x14ac:dyDescent="0.25">
      <c r="G135" t="e" vm="1">
        <f ca="1"/>
        <v>#NAME?</v>
      </c>
    </row>
    <row r="136" spans="2:7" x14ac:dyDescent="0.25">
      <c r="G136" t="e" vm="1">
        <f ca="1"/>
        <v>#NAME?</v>
      </c>
    </row>
    <row r="137" spans="2:7" x14ac:dyDescent="0.25">
      <c r="G137" t="e" vm="1">
        <f ca="1"/>
        <v>#NAME?</v>
      </c>
    </row>
    <row r="138" spans="2:7" x14ac:dyDescent="0.25">
      <c r="G138" t="e" vm="1">
        <f ca="1"/>
        <v>#NAME?</v>
      </c>
    </row>
    <row r="139" spans="2:7" x14ac:dyDescent="0.25">
      <c r="G139" t="e" vm="1">
        <f ca="1"/>
        <v>#NAME?</v>
      </c>
    </row>
    <row r="140" spans="2:7" x14ac:dyDescent="0.25">
      <c r="G140" t="e" vm="1">
        <f ca="1"/>
        <v>#NAME?</v>
      </c>
    </row>
    <row r="141" spans="2:7" x14ac:dyDescent="0.25">
      <c r="G141" t="e" vm="1">
        <f ca="1"/>
        <v>#NAME?</v>
      </c>
    </row>
    <row r="142" spans="2:7" x14ac:dyDescent="0.25">
      <c r="G142" t="e" vm="1">
        <f ca="1"/>
        <v>#NAME?</v>
      </c>
    </row>
    <row r="143" spans="2:7" x14ac:dyDescent="0.25">
      <c r="G143" t="e" vm="1">
        <f ca="1"/>
        <v>#NAME?</v>
      </c>
    </row>
    <row r="144" spans="2:7" x14ac:dyDescent="0.25">
      <c r="G144" t="e" vm="1">
        <f ca="1"/>
        <v>#NAME?</v>
      </c>
    </row>
    <row r="145" spans="2:7" x14ac:dyDescent="0.25">
      <c r="G145" t="e" vm="1">
        <f ca="1"/>
        <v>#NAME?</v>
      </c>
    </row>
    <row r="146" spans="2:7" x14ac:dyDescent="0.25">
      <c r="G146" t="e" vm="1">
        <f ca="1"/>
        <v>#NAME?</v>
      </c>
    </row>
    <row r="147" spans="2:7" x14ac:dyDescent="0.25">
      <c r="G147" t="e" vm="1">
        <f ca="1"/>
        <v>#NAME?</v>
      </c>
    </row>
    <row r="148" spans="2:7" x14ac:dyDescent="0.25">
      <c r="G148" t="e" vm="1">
        <f ca="1"/>
        <v>#NAME?</v>
      </c>
    </row>
    <row r="149" spans="2:7" x14ac:dyDescent="0.25">
      <c r="G149" t="e" vm="1">
        <f ca="1"/>
        <v>#NAME?</v>
      </c>
    </row>
    <row r="150" spans="2:7" x14ac:dyDescent="0.25">
      <c r="G150" t="e" vm="1">
        <f ca="1"/>
        <v>#NAME?</v>
      </c>
    </row>
    <row r="151" spans="2:7" x14ac:dyDescent="0.25">
      <c r="B151" s="7"/>
      <c r="C151" s="5"/>
      <c r="D151"/>
      <c r="E151" s="14"/>
      <c r="G151" t="e" vm="1">
        <f ca="1"/>
        <v>#NAME?</v>
      </c>
    </row>
    <row r="152" spans="2:7" x14ac:dyDescent="0.25">
      <c r="B152" s="7"/>
      <c r="C152" s="5"/>
      <c r="D152"/>
      <c r="E152" s="15"/>
      <c r="G152" t="e" vm="1">
        <f ca="1"/>
        <v>#NAME?</v>
      </c>
    </row>
    <row r="153" spans="2:7" x14ac:dyDescent="0.25">
      <c r="B153" s="7"/>
      <c r="C153" s="5"/>
      <c r="D153"/>
      <c r="E153" s="14"/>
      <c r="G153" t="e" vm="1">
        <f ca="1"/>
        <v>#NAME?</v>
      </c>
    </row>
    <row r="154" spans="2:7" x14ac:dyDescent="0.25">
      <c r="B154" s="7"/>
      <c r="C154" s="5"/>
      <c r="D154"/>
      <c r="E154" s="15"/>
      <c r="G154" t="e" vm="1">
        <f ca="1"/>
        <v>#NAME?</v>
      </c>
    </row>
    <row r="155" spans="2:7" x14ac:dyDescent="0.25">
      <c r="B155" s="7"/>
      <c r="C155" s="5"/>
      <c r="D155"/>
      <c r="E155" s="14"/>
      <c r="G155" t="e" vm="1">
        <f ca="1"/>
        <v>#NAME?</v>
      </c>
    </row>
    <row r="156" spans="2:7" x14ac:dyDescent="0.25">
      <c r="B156" s="7"/>
      <c r="C156" s="5"/>
      <c r="D156" s="20"/>
      <c r="G156" t="e" vm="1">
        <f ca="1"/>
        <v>#NAME?</v>
      </c>
    </row>
    <row r="157" spans="2:7" x14ac:dyDescent="0.25">
      <c r="B157" s="7"/>
      <c r="C157" s="5"/>
      <c r="G157" t="e" vm="1">
        <f ca="1"/>
        <v>#NAME?</v>
      </c>
    </row>
    <row r="158" spans="2:7" x14ac:dyDescent="0.25">
      <c r="B158" s="7"/>
      <c r="C158" s="5"/>
      <c r="G158" t="e" vm="1">
        <f ca="1"/>
        <v>#NAME?</v>
      </c>
    </row>
    <row r="159" spans="2:7" x14ac:dyDescent="0.25">
      <c r="B159" s="7"/>
      <c r="C159" s="5"/>
      <c r="G159" t="e" vm="1">
        <f ca="1"/>
        <v>#NAME?</v>
      </c>
    </row>
    <row r="160" spans="2:7" x14ac:dyDescent="0.25">
      <c r="B160" s="7"/>
      <c r="C160" s="5"/>
      <c r="G160" t="e" vm="1">
        <f ca="1"/>
        <v>#NAME?</v>
      </c>
    </row>
    <row r="161" spans="2:7" x14ac:dyDescent="0.25">
      <c r="B161" s="73"/>
      <c r="C161" s="74"/>
      <c r="G161" t="e" vm="1">
        <f ca="1"/>
        <v>#NAME?</v>
      </c>
    </row>
    <row r="162" spans="2:7" x14ac:dyDescent="0.25">
      <c r="B162" s="73"/>
      <c r="C162" s="74"/>
      <c r="G162" t="e" vm="1">
        <f ca="1"/>
        <v>#NAME?</v>
      </c>
    </row>
    <row r="163" spans="2:7" x14ac:dyDescent="0.25">
      <c r="B163" s="73"/>
      <c r="C163" s="74"/>
      <c r="G163" t="e" vm="1">
        <f ca="1"/>
        <v>#NAME?</v>
      </c>
    </row>
    <row r="164" spans="2:7" x14ac:dyDescent="0.25">
      <c r="B164" s="7"/>
      <c r="C164" s="5"/>
      <c r="G164" t="e" vm="1">
        <f ca="1"/>
        <v>#NAME?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31974D-7F53-4373-9142-75C4C9E314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Formulario</vt:lpstr>
      <vt:lpstr>BD</vt:lpstr>
      <vt:lpstr>tipoSP</vt:lpstr>
      <vt:lpstr>tipoPresupuesto</vt:lpstr>
      <vt:lpstr>Proveedor</vt:lpstr>
      <vt:lpstr>Analistas</vt:lpstr>
      <vt:lpstr>posicionSP</vt:lpstr>
      <vt:lpstr>Material</vt:lpstr>
      <vt:lpstr>Analista</vt:lpstr>
      <vt:lpstr>codigoMaterial</vt:lpstr>
      <vt:lpstr>Moneda</vt:lpstr>
      <vt:lpstr>nombreMaterial</vt:lpstr>
      <vt:lpstr>posicionSP</vt:lpstr>
      <vt:lpstr>precioUnitario</vt:lpstr>
      <vt:lpstr>tipoPresupuesto</vt:lpstr>
      <vt:lpstr>tipoSP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Karli</dc:creator>
  <cp:lastModifiedBy>Karli</cp:lastModifiedBy>
  <dcterms:created xsi:type="dcterms:W3CDTF">2015-06-05T18:17:20Z</dcterms:created>
  <dcterms:modified xsi:type="dcterms:W3CDTF">2022-03-06T00:21:56Z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ed35d9e-000e-4534-9ab6-e809205c2ad0_Enabled">
    <vt:lpwstr>true</vt:lpwstr>
  </property>
  <property fmtid="{D5CDD505-2E9C-101B-9397-08002B2CF9AE}" pid="3" name="MSIP_Label_fed35d9e-000e-4534-9ab6-e809205c2ad0_SetDate">
    <vt:lpwstr>2022-03-01T16:17:10Z</vt:lpwstr>
  </property>
  <property fmtid="{D5CDD505-2E9C-101B-9397-08002B2CF9AE}" pid="4" name="MSIP_Label_fed35d9e-000e-4534-9ab6-e809205c2ad0_Method">
    <vt:lpwstr>Standard</vt:lpwstr>
  </property>
  <property fmtid="{D5CDD505-2E9C-101B-9397-08002B2CF9AE}" pid="5" name="MSIP_Label_fed35d9e-000e-4534-9ab6-e809205c2ad0_Name">
    <vt:lpwstr>Publica</vt:lpwstr>
  </property>
  <property fmtid="{D5CDD505-2E9C-101B-9397-08002B2CF9AE}" pid="6" name="MSIP_Label_fed35d9e-000e-4534-9ab6-e809205c2ad0_SiteId">
    <vt:lpwstr>05bfea77-f19c-471d-afa2-0c9093af8bdb</vt:lpwstr>
  </property>
  <property fmtid="{D5CDD505-2E9C-101B-9397-08002B2CF9AE}" pid="7" name="MSIP_Label_fed35d9e-000e-4534-9ab6-e809205c2ad0_ActionId">
    <vt:lpwstr>ecb16b65-cec8-4153-a558-4edebd9a5626</vt:lpwstr>
  </property>
  <property fmtid="{D5CDD505-2E9C-101B-9397-08002B2CF9AE}" pid="8" name="MSIP_Label_fed35d9e-000e-4534-9ab6-e809205c2ad0_ContentBits">
    <vt:lpwstr>0</vt:lpwstr>
  </property>
</Properties>
</file>